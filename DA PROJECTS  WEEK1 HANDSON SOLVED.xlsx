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um\Downloads\4264392-MINI_PROJECT_-_WEEK_03 (1) MINI PROJECT 3\"/>
    </mc:Choice>
  </mc:AlternateContent>
  <xr:revisionPtr revIDLastSave="0" documentId="8_{C1FF54A7-2E1C-4105-A310-31301DF89467}" xr6:coauthVersionLast="47" xr6:coauthVersionMax="47" xr10:uidLastSave="{00000000-0000-0000-0000-000000000000}"/>
  <bookViews>
    <workbookView xWindow="-108" yWindow="-108" windowWidth="23256" windowHeight="12456" firstSheet="6" activeTab="6" xr2:uid="{A82DC715-8879-49B8-8D41-1ED904E6FE44}"/>
  </bookViews>
  <sheets>
    <sheet name="COLUMN CHART" sheetId="11" r:id="rId1"/>
    <sheet name="LINE CHART" sheetId="12" r:id="rId2"/>
    <sheet name="PIE CHART" sheetId="13" r:id="rId3"/>
    <sheet name="COMBO CHART" sheetId="14" r:id="rId4"/>
    <sheet name="WORK2" sheetId="9" r:id="rId5"/>
    <sheet name="HLOOKUP ND DATA VALIDATION" sheetId="15" r:id="rId6"/>
    <sheet name="WORK1" sheetId="10" r:id="rId7"/>
  </sheets>
  <definedNames>
    <definedName name="_xlnm._FilterDatabase" localSheetId="6" hidden="1">WORK1!$A$70:$I$75</definedName>
    <definedName name="_xlnm._FilterDatabase" localSheetId="4" hidden="1">WORK2!$A$1:$H$188</definedName>
  </definedNames>
  <calcPr calcId="191028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5" l="1"/>
  <c r="DS14" i="15" a="1"/>
  <c r="DS14" i="15" s="1"/>
  <c r="DM14" i="15" a="1"/>
  <c r="DM14" i="15" s="1"/>
  <c r="AY14" i="15" a="1"/>
  <c r="AY14" i="15" s="1"/>
  <c r="AS14" i="15" a="1"/>
  <c r="AS14" i="15" s="1"/>
  <c r="J14" i="15" a="1"/>
  <c r="J14" i="15" s="1"/>
  <c r="FY13" i="15" a="1"/>
  <c r="FY13" i="15" s="1"/>
  <c r="FY14" i="15" s="1" a="1"/>
  <c r="FY14" i="15" s="1"/>
  <c r="FW13" i="15" a="1"/>
  <c r="FW13" i="15" s="1"/>
  <c r="FW14" i="15" s="1" a="1"/>
  <c r="FW14" i="15" s="1"/>
  <c r="FH13" i="15" a="1"/>
  <c r="FH13" i="15" s="1"/>
  <c r="FH14" i="15" s="1" a="1"/>
  <c r="FH14" i="15" s="1"/>
  <c r="FG13" i="15" a="1"/>
  <c r="FG13" i="15" s="1"/>
  <c r="FG14" i="15" s="1" a="1"/>
  <c r="FG14" i="15" s="1"/>
  <c r="EO13" i="15" a="1"/>
  <c r="EO13" i="15" s="1"/>
  <c r="EO14" i="15" s="1" a="1"/>
  <c r="EO14" i="15" s="1"/>
  <c r="EM13" i="15" a="1"/>
  <c r="EM13" i="15" s="1"/>
  <c r="EM14" i="15" s="1" a="1"/>
  <c r="EM14" i="15" s="1"/>
  <c r="DX13" i="15" a="1"/>
  <c r="DX13" i="15" s="1"/>
  <c r="DX14" i="15" s="1" a="1"/>
  <c r="DX14" i="15" s="1"/>
  <c r="DW13" i="15" a="1"/>
  <c r="DW13" i="15" s="1"/>
  <c r="DW14" i="15" s="1" a="1"/>
  <c r="DW14" i="15" s="1"/>
  <c r="DH13" i="15" a="1"/>
  <c r="DH13" i="15" s="1"/>
  <c r="DH14" i="15" s="1" a="1"/>
  <c r="DH14" i="15" s="1"/>
  <c r="DF13" i="15" a="1"/>
  <c r="DF13" i="15" s="1"/>
  <c r="DF14" i="15" s="1" a="1"/>
  <c r="DF14" i="15" s="1"/>
  <c r="DE13" i="15" a="1"/>
  <c r="DE13" i="15" s="1"/>
  <c r="DE14" i="15" s="1" a="1"/>
  <c r="DE14" i="15" s="1"/>
  <c r="CS13" i="15" a="1"/>
  <c r="CS13" i="15" s="1"/>
  <c r="CS14" i="15" s="1" a="1"/>
  <c r="CS14" i="15" s="1"/>
  <c r="CR13" i="15" a="1"/>
  <c r="CR13" i="15" s="1"/>
  <c r="CR14" i="15" s="1" a="1"/>
  <c r="CR14" i="15" s="1"/>
  <c r="CQ13" i="15" a="1"/>
  <c r="CQ13" i="15" s="1"/>
  <c r="CQ14" i="15" s="1" a="1"/>
  <c r="CQ14" i="15" s="1"/>
  <c r="CE13" i="15" a="1"/>
  <c r="CE13" i="15" s="1"/>
  <c r="CE14" i="15" s="1" a="1"/>
  <c r="CE14" i="15" s="1"/>
  <c r="CD13" i="15" a="1"/>
  <c r="CD13" i="15" s="1"/>
  <c r="CD14" i="15" s="1" a="1"/>
  <c r="CD14" i="15" s="1"/>
  <c r="CB13" i="15" a="1"/>
  <c r="CB13" i="15" s="1"/>
  <c r="CB14" i="15" s="1" a="1"/>
  <c r="CB14" i="15" s="1"/>
  <c r="BP13" i="15" a="1"/>
  <c r="BP13" i="15" s="1"/>
  <c r="BP14" i="15" s="1" a="1"/>
  <c r="BP14" i="15" s="1"/>
  <c r="BO13" i="15" a="1"/>
  <c r="BO13" i="15" s="1"/>
  <c r="BO14" i="15" s="1" a="1"/>
  <c r="BO14" i="15" s="1"/>
  <c r="BN13" i="15" a="1"/>
  <c r="BN13" i="15" s="1"/>
  <c r="BN14" i="15" s="1" a="1"/>
  <c r="BN14" i="15" s="1"/>
  <c r="AZ13" i="15" a="1"/>
  <c r="AZ13" i="15" s="1"/>
  <c r="AZ14" i="15" s="1" a="1"/>
  <c r="AZ14" i="15" s="1"/>
  <c r="AN13" i="15" a="1"/>
  <c r="AN13" i="15" s="1"/>
  <c r="AN14" i="15" s="1" a="1"/>
  <c r="AN14" i="15" s="1"/>
  <c r="AL13" i="15" a="1"/>
  <c r="AL13" i="15" s="1"/>
  <c r="AL14" i="15" s="1" a="1"/>
  <c r="AL14" i="15" s="1"/>
  <c r="AK13" i="15" a="1"/>
  <c r="AK13" i="15" s="1"/>
  <c r="AK14" i="15" s="1" a="1"/>
  <c r="AK14" i="15" s="1"/>
  <c r="Y13" i="15" a="1"/>
  <c r="Y13" i="15" s="1"/>
  <c r="Y14" i="15" s="1" a="1"/>
  <c r="Y14" i="15" s="1"/>
  <c r="X13" i="15" a="1"/>
  <c r="X13" i="15" s="1"/>
  <c r="X14" i="15" s="1" a="1"/>
  <c r="X14" i="15" s="1"/>
  <c r="W13" i="15" a="1"/>
  <c r="W13" i="15" s="1"/>
  <c r="W14" i="15" s="1" a="1"/>
  <c r="W14" i="15" s="1"/>
  <c r="K13" i="15" a="1"/>
  <c r="K13" i="15" s="1"/>
  <c r="K14" i="15" s="1" a="1"/>
  <c r="K14" i="15" s="1"/>
  <c r="J13" i="15" a="1"/>
  <c r="J13" i="15" s="1"/>
  <c r="H13" i="15" a="1"/>
  <c r="H13" i="15" s="1"/>
  <c r="H14" i="15" s="1" a="1"/>
  <c r="H14" i="15" s="1"/>
  <c r="GA12" i="15" a="1"/>
  <c r="GA12" i="15" s="1"/>
  <c r="FZ12" i="15" a="1"/>
  <c r="FZ12" i="15" s="1"/>
  <c r="FY12" i="15" a="1"/>
  <c r="FY12" i="15" s="1"/>
  <c r="FM12" i="15" a="1"/>
  <c r="FM12" i="15" s="1"/>
  <c r="FL12" i="15" a="1"/>
  <c r="FL12" i="15" s="1"/>
  <c r="FK12" i="15" a="1"/>
  <c r="FK12" i="15" s="1"/>
  <c r="EY12" i="15" a="1"/>
  <c r="EY12" i="15" s="1"/>
  <c r="EX12" i="15"/>
  <c r="EQ12" i="15" a="1"/>
  <c r="EQ12" i="15" s="1"/>
  <c r="EP12" i="15" a="1"/>
  <c r="EP12" i="15" s="1"/>
  <c r="EI12" i="15" a="1"/>
  <c r="EI12" i="15" s="1"/>
  <c r="EH12" i="15" a="1"/>
  <c r="EH12" i="15" s="1"/>
  <c r="EA12" i="15" a="1"/>
  <c r="EA12" i="15" s="1"/>
  <c r="DZ12" i="15"/>
  <c r="DS12" i="15" a="1"/>
  <c r="DS12" i="15" s="1"/>
  <c r="DR12" i="15" a="1"/>
  <c r="DR12" i="15" s="1"/>
  <c r="DK12" i="15" a="1"/>
  <c r="DK12" i="15" s="1"/>
  <c r="DJ12" i="15" a="1"/>
  <c r="DJ12" i="15" s="1"/>
  <c r="DC12" i="15" a="1"/>
  <c r="DC12" i="15" s="1"/>
  <c r="DB12" i="15"/>
  <c r="CU12" i="15" a="1"/>
  <c r="CU12" i="15" s="1"/>
  <c r="CT12" i="15" a="1"/>
  <c r="CT12" i="15" s="1"/>
  <c r="CM12" i="15" a="1"/>
  <c r="CM12" i="15" s="1"/>
  <c r="CL12" i="15" a="1"/>
  <c r="CL12" i="15" s="1"/>
  <c r="CE12" i="15" a="1"/>
  <c r="CE12" i="15" s="1"/>
  <c r="CD12" i="15" a="1"/>
  <c r="CD12" i="15" s="1"/>
  <c r="BX12" i="15" a="1"/>
  <c r="BX12" i="15" s="1"/>
  <c r="BW12" i="15" a="1"/>
  <c r="BW12" i="15" s="1"/>
  <c r="BQ12" i="15" a="1"/>
  <c r="BQ12" i="15" s="1"/>
  <c r="BP12" i="15" a="1"/>
  <c r="BP12" i="15" s="1"/>
  <c r="BJ12" i="15" a="1"/>
  <c r="BJ12" i="15" s="1"/>
  <c r="BI12" i="15" a="1"/>
  <c r="BI12" i="15" s="1"/>
  <c r="AV12" i="15" a="1"/>
  <c r="AV12" i="15" s="1"/>
  <c r="AU12" i="15" a="1"/>
  <c r="AU12" i="15" s="1"/>
  <c r="AJ12" i="15" a="1"/>
  <c r="AJ12" i="15" s="1"/>
  <c r="AI12" i="15" a="1"/>
  <c r="AI12" i="15" s="1"/>
  <c r="X12" i="15" a="1"/>
  <c r="X12" i="15" s="1"/>
  <c r="W12" i="15" a="1"/>
  <c r="W12" i="15" s="1"/>
  <c r="L12" i="15" a="1"/>
  <c r="L12" i="15" s="1"/>
  <c r="K12" i="15" a="1"/>
  <c r="K12" i="15" s="1"/>
  <c r="GF11" i="15"/>
  <c r="GE11" i="15"/>
  <c r="GD11" i="15"/>
  <c r="GC11" i="15"/>
  <c r="GB11" i="15"/>
  <c r="GA11" i="15"/>
  <c r="FZ11" i="15"/>
  <c r="FY11" i="15"/>
  <c r="FX11" i="15"/>
  <c r="FW11" i="15"/>
  <c r="FV11" i="15"/>
  <c r="FU11" i="15"/>
  <c r="FT11" i="15"/>
  <c r="FS11" i="15"/>
  <c r="FR11" i="15"/>
  <c r="FQ11" i="15"/>
  <c r="FP11" i="15"/>
  <c r="FO11" i="15"/>
  <c r="FN11" i="15"/>
  <c r="FM11" i="15"/>
  <c r="FL11" i="15"/>
  <c r="FK11" i="15"/>
  <c r="FJ11" i="15"/>
  <c r="FI11" i="15"/>
  <c r="FH11" i="15"/>
  <c r="FG11" i="15"/>
  <c r="FF11" i="15"/>
  <c r="FE11" i="15"/>
  <c r="FD11" i="15"/>
  <c r="FC11" i="15"/>
  <c r="FB11" i="15"/>
  <c r="FA11" i="15"/>
  <c r="EZ11" i="15"/>
  <c r="EY11" i="15"/>
  <c r="EX11" i="15"/>
  <c r="EW11" i="15"/>
  <c r="EV11" i="15"/>
  <c r="EU11" i="15"/>
  <c r="ET11" i="15"/>
  <c r="ES11" i="15"/>
  <c r="ER11" i="15"/>
  <c r="EQ11" i="15"/>
  <c r="EP11" i="15"/>
  <c r="EO11" i="15"/>
  <c r="EN11" i="15"/>
  <c r="EM11" i="15"/>
  <c r="EL11" i="15"/>
  <c r="EK11" i="15"/>
  <c r="EJ11" i="15"/>
  <c r="EI11" i="15"/>
  <c r="EH11" i="15"/>
  <c r="EG11" i="15"/>
  <c r="EF11" i="15"/>
  <c r="EE11" i="15"/>
  <c r="ED11" i="15"/>
  <c r="EC11" i="15"/>
  <c r="EB11" i="15"/>
  <c r="EA11" i="15"/>
  <c r="DZ11" i="15"/>
  <c r="DY11" i="15"/>
  <c r="DX11" i="15"/>
  <c r="DW11" i="15"/>
  <c r="DV11" i="15"/>
  <c r="DU11" i="15"/>
  <c r="DT11" i="15"/>
  <c r="DS11" i="15"/>
  <c r="DR11" i="15"/>
  <c r="DQ11" i="15"/>
  <c r="DP11" i="15"/>
  <c r="DO11" i="15"/>
  <c r="DN11" i="15"/>
  <c r="DM11" i="15"/>
  <c r="DL11" i="15"/>
  <c r="DK11" i="15"/>
  <c r="DJ11" i="15"/>
  <c r="DI11" i="15"/>
  <c r="DH11" i="15"/>
  <c r="DG11" i="15"/>
  <c r="DF11" i="15"/>
  <c r="DE11" i="15"/>
  <c r="DD11" i="15"/>
  <c r="DC11" i="15"/>
  <c r="DB11" i="15"/>
  <c r="DA11" i="15"/>
  <c r="CZ11" i="15"/>
  <c r="CY11" i="15"/>
  <c r="CX11" i="15"/>
  <c r="CW11" i="15"/>
  <c r="CV11" i="15"/>
  <c r="CU11" i="15"/>
  <c r="CT11" i="15"/>
  <c r="CS11" i="15"/>
  <c r="CR11" i="15"/>
  <c r="CQ11" i="15"/>
  <c r="CP11" i="15"/>
  <c r="CO11" i="15"/>
  <c r="CN11" i="15"/>
  <c r="CM11" i="15"/>
  <c r="CL11" i="15"/>
  <c r="CK11" i="15"/>
  <c r="CJ11" i="15"/>
  <c r="CI11" i="15"/>
  <c r="CH11" i="15"/>
  <c r="CG11" i="15"/>
  <c r="CF11" i="15"/>
  <c r="CE11" i="15"/>
  <c r="CD11" i="15"/>
  <c r="CC11" i="15"/>
  <c r="CB11" i="15"/>
  <c r="CA11" i="15"/>
  <c r="BZ11" i="15"/>
  <c r="BY11" i="15"/>
  <c r="BX11" i="15"/>
  <c r="BW11" i="15"/>
  <c r="BV11" i="15"/>
  <c r="BU11" i="15"/>
  <c r="BT11" i="15"/>
  <c r="BS11" i="15"/>
  <c r="BR11" i="15"/>
  <c r="BQ11" i="15"/>
  <c r="BP11" i="15"/>
  <c r="BO11" i="15"/>
  <c r="BN11" i="15"/>
  <c r="BM11" i="15"/>
  <c r="BL11" i="15"/>
  <c r="BK11" i="15"/>
  <c r="BJ11" i="15"/>
  <c r="BI11" i="15"/>
  <c r="BH11" i="15"/>
  <c r="BG11" i="15"/>
  <c r="BF11" i="15"/>
  <c r="BE11" i="15"/>
  <c r="BD11" i="15"/>
  <c r="BC11" i="15"/>
  <c r="BB11" i="15"/>
  <c r="BA11" i="15"/>
  <c r="AZ11" i="15"/>
  <c r="AY11" i="15"/>
  <c r="AX11" i="15"/>
  <c r="AW11" i="15"/>
  <c r="AV11" i="15"/>
  <c r="AU11" i="15"/>
  <c r="AT11" i="15"/>
  <c r="AS11" i="15"/>
  <c r="AR11" i="15"/>
  <c r="AQ11" i="15"/>
  <c r="AP11" i="15"/>
  <c r="AO11" i="15"/>
  <c r="AN11" i="15"/>
  <c r="AM11" i="15"/>
  <c r="AL11" i="15"/>
  <c r="AK11" i="15"/>
  <c r="AJ11" i="15"/>
  <c r="AI11" i="15"/>
  <c r="AH11" i="15"/>
  <c r="AG11" i="15"/>
  <c r="AF11" i="15"/>
  <c r="AE11" i="15"/>
  <c r="AD11" i="15"/>
  <c r="AC11" i="15"/>
  <c r="AB11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GF10" i="15"/>
  <c r="GE10" i="15"/>
  <c r="GD10" i="15"/>
  <c r="GC10" i="15"/>
  <c r="GB10" i="15"/>
  <c r="GA10" i="15"/>
  <c r="FZ10" i="15"/>
  <c r="FY10" i="15"/>
  <c r="FX10" i="15"/>
  <c r="FW10" i="15"/>
  <c r="FV10" i="15"/>
  <c r="FU10" i="15"/>
  <c r="FT10" i="15"/>
  <c r="FS10" i="15"/>
  <c r="FR10" i="15"/>
  <c r="FQ10" i="15"/>
  <c r="FP10" i="15"/>
  <c r="FO10" i="15"/>
  <c r="FN10" i="15"/>
  <c r="FM10" i="15"/>
  <c r="FL10" i="15"/>
  <c r="FK10" i="15"/>
  <c r="FJ10" i="15"/>
  <c r="FI10" i="15"/>
  <c r="FH10" i="15"/>
  <c r="FG10" i="15"/>
  <c r="FF10" i="15"/>
  <c r="FE10" i="15"/>
  <c r="FD10" i="15"/>
  <c r="FC10" i="15"/>
  <c r="FB10" i="15"/>
  <c r="FA10" i="15"/>
  <c r="EZ10" i="15"/>
  <c r="EY10" i="15"/>
  <c r="EX10" i="15"/>
  <c r="EW10" i="15"/>
  <c r="EV10" i="15"/>
  <c r="EU10" i="15"/>
  <c r="ET10" i="15"/>
  <c r="ES10" i="15"/>
  <c r="ER10" i="15"/>
  <c r="EQ10" i="15"/>
  <c r="EP10" i="15"/>
  <c r="EO10" i="15"/>
  <c r="EN10" i="15"/>
  <c r="EM10" i="15"/>
  <c r="EL10" i="15"/>
  <c r="EK10" i="15"/>
  <c r="EJ10" i="15"/>
  <c r="EI10" i="15"/>
  <c r="EH10" i="15"/>
  <c r="EG10" i="15"/>
  <c r="EF10" i="15"/>
  <c r="EE10" i="15"/>
  <c r="ED10" i="15"/>
  <c r="EC10" i="15"/>
  <c r="EB10" i="15"/>
  <c r="EA10" i="15"/>
  <c r="DZ10" i="15"/>
  <c r="DY10" i="15"/>
  <c r="DX10" i="15"/>
  <c r="DW10" i="15"/>
  <c r="DV10" i="15"/>
  <c r="DU10" i="15"/>
  <c r="DT10" i="15"/>
  <c r="DS10" i="15"/>
  <c r="DR10" i="15"/>
  <c r="DQ10" i="15"/>
  <c r="DP10" i="15"/>
  <c r="DO10" i="15"/>
  <c r="DN10" i="15"/>
  <c r="DM10" i="15"/>
  <c r="DL10" i="15"/>
  <c r="DK10" i="15"/>
  <c r="DJ10" i="15"/>
  <c r="DI10" i="15"/>
  <c r="DH10" i="15"/>
  <c r="DG10" i="15"/>
  <c r="DF10" i="15"/>
  <c r="DE10" i="15"/>
  <c r="DD10" i="15"/>
  <c r="DC10" i="15"/>
  <c r="DB10" i="15"/>
  <c r="DA10" i="15"/>
  <c r="CZ10" i="15"/>
  <c r="CY10" i="15"/>
  <c r="CX10" i="15"/>
  <c r="CW10" i="15"/>
  <c r="CV10" i="15"/>
  <c r="CU10" i="15"/>
  <c r="CT10" i="15"/>
  <c r="CS10" i="15"/>
  <c r="CR10" i="15"/>
  <c r="CQ10" i="15"/>
  <c r="CP10" i="15"/>
  <c r="CO10" i="15"/>
  <c r="CN10" i="15"/>
  <c r="CM10" i="15"/>
  <c r="CL10" i="15"/>
  <c r="CK10" i="15"/>
  <c r="CJ10" i="15"/>
  <c r="CI10" i="15"/>
  <c r="CH10" i="15"/>
  <c r="CG10" i="15"/>
  <c r="CF10" i="15"/>
  <c r="CE10" i="15"/>
  <c r="CD10" i="15"/>
  <c r="CC10" i="15"/>
  <c r="CB10" i="15"/>
  <c r="CA10" i="15"/>
  <c r="BZ10" i="15"/>
  <c r="BY10" i="15"/>
  <c r="BX10" i="15"/>
  <c r="BW10" i="15"/>
  <c r="BV10" i="15"/>
  <c r="BU10" i="15"/>
  <c r="BT10" i="15"/>
  <c r="BS10" i="15"/>
  <c r="BR10" i="15"/>
  <c r="BQ10" i="15"/>
  <c r="BP10" i="15"/>
  <c r="BO10" i="15"/>
  <c r="BN10" i="15"/>
  <c r="BM10" i="15"/>
  <c r="BL10" i="15"/>
  <c r="BK10" i="15"/>
  <c r="BJ10" i="15"/>
  <c r="BI10" i="15"/>
  <c r="BH10" i="15"/>
  <c r="BG10" i="15"/>
  <c r="BF10" i="15"/>
  <c r="BE10" i="15"/>
  <c r="BD10" i="15"/>
  <c r="BC10" i="15"/>
  <c r="BB10" i="15"/>
  <c r="BA10" i="15"/>
  <c r="AZ10" i="15"/>
  <c r="AY10" i="15"/>
  <c r="AX10" i="15"/>
  <c r="AW10" i="15"/>
  <c r="AV10" i="15"/>
  <c r="AU10" i="15"/>
  <c r="AT10" i="15"/>
  <c r="AS10" i="15"/>
  <c r="AR10" i="15"/>
  <c r="AQ10" i="15"/>
  <c r="AP10" i="15"/>
  <c r="AO10" i="15"/>
  <c r="AN10" i="15"/>
  <c r="AM10" i="15"/>
  <c r="AL10" i="15"/>
  <c r="AK10" i="15"/>
  <c r="AJ10" i="15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GF9" i="15"/>
  <c r="GF13" i="15" s="1" a="1"/>
  <c r="GF13" i="15" s="1"/>
  <c r="GF14" i="15" s="1" a="1"/>
  <c r="GF14" i="15" s="1"/>
  <c r="GE9" i="15"/>
  <c r="GE13" i="15" s="1" a="1"/>
  <c r="GE13" i="15" s="1"/>
  <c r="GE14" i="15" s="1" a="1"/>
  <c r="GE14" i="15" s="1"/>
  <c r="GD9" i="15"/>
  <c r="GD13" i="15" s="1" a="1"/>
  <c r="GD13" i="15" s="1"/>
  <c r="GD14" i="15" s="1" a="1"/>
  <c r="GD14" i="15" s="1"/>
  <c r="GC9" i="15"/>
  <c r="GC13" i="15" s="1" a="1"/>
  <c r="GC13" i="15" s="1"/>
  <c r="GC14" i="15" s="1" a="1"/>
  <c r="GC14" i="15" s="1"/>
  <c r="GB9" i="15"/>
  <c r="GB12" i="15" s="1" a="1"/>
  <c r="GB12" i="15" s="1"/>
  <c r="GA9" i="15"/>
  <c r="GA13" i="15" s="1" a="1"/>
  <c r="GA13" i="15" s="1"/>
  <c r="GA14" i="15" s="1" a="1"/>
  <c r="GA14" i="15" s="1"/>
  <c r="FZ9" i="15"/>
  <c r="FZ13" i="15" s="1" a="1"/>
  <c r="FZ13" i="15" s="1"/>
  <c r="FZ14" i="15" s="1" a="1"/>
  <c r="FZ14" i="15" s="1"/>
  <c r="FY9" i="15"/>
  <c r="FX9" i="15"/>
  <c r="FX13" i="15" s="1" a="1"/>
  <c r="FX13" i="15" s="1"/>
  <c r="FX14" i="15" s="1" a="1"/>
  <c r="FX14" i="15" s="1"/>
  <c r="FW9" i="15"/>
  <c r="FW12" i="15" s="1" a="1"/>
  <c r="FW12" i="15" s="1"/>
  <c r="FV9" i="15"/>
  <c r="FV12" i="15" s="1" a="1"/>
  <c r="FV12" i="15" s="1"/>
  <c r="FU9" i="15"/>
  <c r="FU13" i="15" s="1" a="1"/>
  <c r="FU13" i="15" s="1"/>
  <c r="FU14" i="15" s="1" a="1"/>
  <c r="FU14" i="15" s="1"/>
  <c r="FT9" i="15"/>
  <c r="FT13" i="15" s="1" a="1"/>
  <c r="FT13" i="15" s="1"/>
  <c r="FT14" i="15" s="1" a="1"/>
  <c r="FT14" i="15" s="1"/>
  <c r="FS9" i="15"/>
  <c r="FS13" i="15" s="1" a="1"/>
  <c r="FS13" i="15" s="1"/>
  <c r="FS14" i="15" s="1" a="1"/>
  <c r="FS14" i="15" s="1"/>
  <c r="FR9" i="15"/>
  <c r="FR13" i="15" s="1" a="1"/>
  <c r="FR13" i="15" s="1"/>
  <c r="FR14" i="15" s="1" a="1"/>
  <c r="FR14" i="15" s="1"/>
  <c r="FQ9" i="15"/>
  <c r="FQ13" i="15" s="1" a="1"/>
  <c r="FQ13" i="15" s="1"/>
  <c r="FQ14" i="15" s="1" a="1"/>
  <c r="FQ14" i="15" s="1"/>
  <c r="FP9" i="15"/>
  <c r="FP12" i="15" s="1" a="1"/>
  <c r="FP12" i="15" s="1"/>
  <c r="FO9" i="15"/>
  <c r="FO13" i="15" s="1" a="1"/>
  <c r="FO13" i="15" s="1"/>
  <c r="FO14" i="15" s="1" a="1"/>
  <c r="FO14" i="15" s="1"/>
  <c r="FN9" i="15"/>
  <c r="FN13" i="15" s="1" a="1"/>
  <c r="FN13" i="15" s="1"/>
  <c r="FN14" i="15" s="1" a="1"/>
  <c r="FN14" i="15" s="1"/>
  <c r="FM9" i="15"/>
  <c r="FM13" i="15" s="1" a="1"/>
  <c r="FM13" i="15" s="1"/>
  <c r="FM14" i="15" s="1" a="1"/>
  <c r="FM14" i="15" s="1"/>
  <c r="FL9" i="15"/>
  <c r="FL13" i="15" s="1" a="1"/>
  <c r="FL13" i="15" s="1"/>
  <c r="FL14" i="15" s="1" a="1"/>
  <c r="FL14" i="15" s="1"/>
  <c r="FK9" i="15"/>
  <c r="FK13" i="15" s="1" a="1"/>
  <c r="FK13" i="15" s="1"/>
  <c r="FK14" i="15" s="1" a="1"/>
  <c r="FK14" i="15" s="1"/>
  <c r="FJ9" i="15"/>
  <c r="FJ12" i="15" s="1" a="1"/>
  <c r="FJ12" i="15" s="1"/>
  <c r="FI9" i="15"/>
  <c r="FI13" i="15" s="1" a="1"/>
  <c r="FI13" i="15" s="1"/>
  <c r="FI14" i="15" s="1" a="1"/>
  <c r="FI14" i="15" s="1"/>
  <c r="FH9" i="15"/>
  <c r="FH12" i="15" s="1" a="1"/>
  <c r="FH12" i="15" s="1"/>
  <c r="FG9" i="15"/>
  <c r="FG12" i="15" s="1" a="1"/>
  <c r="FG12" i="15" s="1"/>
  <c r="FF9" i="15"/>
  <c r="FF13" i="15" s="1" a="1"/>
  <c r="FF13" i="15" s="1"/>
  <c r="FF14" i="15" s="1" a="1"/>
  <c r="FF14" i="15" s="1"/>
  <c r="FE9" i="15"/>
  <c r="FE13" i="15" s="1" a="1"/>
  <c r="FE13" i="15" s="1"/>
  <c r="FE14" i="15" s="1" a="1"/>
  <c r="FE14" i="15" s="1"/>
  <c r="FD9" i="15"/>
  <c r="FD12" i="15" s="1" a="1"/>
  <c r="FD12" i="15" s="1"/>
  <c r="FC9" i="15"/>
  <c r="FC13" i="15" s="1" a="1"/>
  <c r="FC13" i="15" s="1"/>
  <c r="FC14" i="15" s="1" a="1"/>
  <c r="FC14" i="15" s="1"/>
  <c r="FB9" i="15"/>
  <c r="FB13" i="15" s="1" a="1"/>
  <c r="FB13" i="15" s="1"/>
  <c r="FB14" i="15" s="1" a="1"/>
  <c r="FB14" i="15" s="1"/>
  <c r="FA9" i="15"/>
  <c r="FA13" i="15" s="1" a="1"/>
  <c r="FA13" i="15" s="1"/>
  <c r="FA14" i="15" s="1" a="1"/>
  <c r="FA14" i="15" s="1"/>
  <c r="EZ9" i="15"/>
  <c r="EZ13" i="15" s="1" a="1"/>
  <c r="EZ13" i="15" s="1"/>
  <c r="EZ14" i="15" s="1" a="1"/>
  <c r="EZ14" i="15" s="1"/>
  <c r="EY9" i="15"/>
  <c r="EY13" i="15" s="1" a="1"/>
  <c r="EY13" i="15" s="1"/>
  <c r="EY14" i="15" s="1" a="1"/>
  <c r="EY14" i="15" s="1"/>
  <c r="EX9" i="15"/>
  <c r="EX12" i="15" s="1" a="1"/>
  <c r="EW9" i="15"/>
  <c r="EW13" i="15" s="1" a="1"/>
  <c r="EW13" i="15" s="1"/>
  <c r="EW14" i="15" s="1" a="1"/>
  <c r="EW14" i="15" s="1"/>
  <c r="EV9" i="15"/>
  <c r="EV12" i="15" s="1" a="1"/>
  <c r="EV12" i="15" s="1"/>
  <c r="EU9" i="15"/>
  <c r="EU12" i="15" s="1" a="1"/>
  <c r="EU12" i="15" s="1"/>
  <c r="ET9" i="15"/>
  <c r="ET13" i="15" s="1" a="1"/>
  <c r="ET13" i="15" s="1"/>
  <c r="ET14" i="15" s="1" a="1"/>
  <c r="ET14" i="15" s="1"/>
  <c r="ES9" i="15"/>
  <c r="ES12" i="15" s="1" a="1"/>
  <c r="ES12" i="15" s="1"/>
  <c r="ER9" i="15"/>
  <c r="ER12" i="15" s="1" a="1"/>
  <c r="ER12" i="15" s="1"/>
  <c r="EQ9" i="15"/>
  <c r="EQ13" i="15" s="1" a="1"/>
  <c r="EQ13" i="15" s="1"/>
  <c r="EQ14" i="15" s="1" a="1"/>
  <c r="EQ14" i="15" s="1"/>
  <c r="EP9" i="15"/>
  <c r="EP13" i="15" s="1" a="1"/>
  <c r="EP13" i="15" s="1"/>
  <c r="EP14" i="15" s="1" a="1"/>
  <c r="EP14" i="15" s="1"/>
  <c r="EO9" i="15"/>
  <c r="EO12" i="15" s="1" a="1"/>
  <c r="EO12" i="15" s="1"/>
  <c r="EN9" i="15"/>
  <c r="EN13" i="15" s="1" a="1"/>
  <c r="EN13" i="15" s="1"/>
  <c r="EN14" i="15" s="1" a="1"/>
  <c r="EN14" i="15" s="1"/>
  <c r="EM9" i="15"/>
  <c r="EM12" i="15" s="1" a="1"/>
  <c r="EM12" i="15" s="1"/>
  <c r="EL9" i="15"/>
  <c r="EL12" i="15" s="1" a="1"/>
  <c r="EL12" i="15" s="1"/>
  <c r="EK9" i="15"/>
  <c r="EK13" i="15" s="1" a="1"/>
  <c r="EK13" i="15" s="1"/>
  <c r="EK14" i="15" s="1" a="1"/>
  <c r="EK14" i="15" s="1"/>
  <c r="EJ9" i="15"/>
  <c r="EJ13" i="15" s="1" a="1"/>
  <c r="EJ13" i="15" s="1"/>
  <c r="EJ14" i="15" s="1" a="1"/>
  <c r="EJ14" i="15" s="1"/>
  <c r="EI9" i="15"/>
  <c r="EI13" i="15" s="1" a="1"/>
  <c r="EI13" i="15" s="1"/>
  <c r="EI14" i="15" s="1" a="1"/>
  <c r="EI14" i="15" s="1"/>
  <c r="EH9" i="15"/>
  <c r="EH13" i="15" s="1" a="1"/>
  <c r="EH13" i="15" s="1"/>
  <c r="EH14" i="15" s="1" a="1"/>
  <c r="EH14" i="15" s="1"/>
  <c r="EG9" i="15"/>
  <c r="EG12" i="15" s="1" a="1"/>
  <c r="EG12" i="15" s="1"/>
  <c r="EF9" i="15"/>
  <c r="EF12" i="15" s="1" a="1"/>
  <c r="EF12" i="15" s="1"/>
  <c r="EE9" i="15"/>
  <c r="EE13" i="15" s="1" a="1"/>
  <c r="EE13" i="15" s="1"/>
  <c r="EE14" i="15" s="1" a="1"/>
  <c r="EE14" i="15" s="1"/>
  <c r="ED9" i="15"/>
  <c r="ED13" i="15" s="1" a="1"/>
  <c r="ED13" i="15" s="1"/>
  <c r="ED14" i="15" s="1" a="1"/>
  <c r="ED14" i="15" s="1"/>
  <c r="EC9" i="15"/>
  <c r="EC13" i="15" s="1" a="1"/>
  <c r="EC13" i="15" s="1"/>
  <c r="EC14" i="15" s="1" a="1"/>
  <c r="EC14" i="15" s="1"/>
  <c r="EB9" i="15"/>
  <c r="EB13" i="15" s="1" a="1"/>
  <c r="EB13" i="15" s="1"/>
  <c r="EB14" i="15" s="1" a="1"/>
  <c r="EB14" i="15" s="1"/>
  <c r="EA9" i="15"/>
  <c r="EA13" i="15" s="1" a="1"/>
  <c r="EA13" i="15" s="1"/>
  <c r="EA14" i="15" s="1" a="1"/>
  <c r="EA14" i="15" s="1"/>
  <c r="DZ9" i="15"/>
  <c r="DZ12" i="15" s="1" a="1"/>
  <c r="DY9" i="15"/>
  <c r="DY13" i="15" s="1" a="1"/>
  <c r="DY13" i="15" s="1"/>
  <c r="DY14" i="15" s="1" a="1"/>
  <c r="DY14" i="15" s="1"/>
  <c r="DX9" i="15"/>
  <c r="DX12" i="15" s="1" a="1"/>
  <c r="DX12" i="15" s="1"/>
  <c r="DW9" i="15"/>
  <c r="DW12" i="15" s="1" a="1"/>
  <c r="DW12" i="15" s="1"/>
  <c r="DV9" i="15"/>
  <c r="DV13" i="15" s="1" a="1"/>
  <c r="DV13" i="15" s="1"/>
  <c r="DV14" i="15" s="1" a="1"/>
  <c r="DV14" i="15" s="1"/>
  <c r="DU9" i="15"/>
  <c r="DU13" i="15" s="1" a="1"/>
  <c r="DU13" i="15" s="1"/>
  <c r="DU14" i="15" s="1" a="1"/>
  <c r="DU14" i="15" s="1"/>
  <c r="DT9" i="15"/>
  <c r="DT12" i="15" s="1" a="1"/>
  <c r="DT12" i="15" s="1"/>
  <c r="DS9" i="15"/>
  <c r="DS13" i="15" s="1" a="1"/>
  <c r="DS13" i="15" s="1"/>
  <c r="DR9" i="15"/>
  <c r="DR13" i="15" s="1" a="1"/>
  <c r="DR13" i="15" s="1"/>
  <c r="DR14" i="15" s="1" a="1"/>
  <c r="DR14" i="15" s="1"/>
  <c r="DQ9" i="15"/>
  <c r="DQ12" i="15" s="1" a="1"/>
  <c r="DQ12" i="15" s="1"/>
  <c r="DP9" i="15"/>
  <c r="DP13" i="15" s="1" a="1"/>
  <c r="DP13" i="15" s="1"/>
  <c r="DP14" i="15" s="1" a="1"/>
  <c r="DP14" i="15" s="1"/>
  <c r="DO9" i="15"/>
  <c r="DO13" i="15" s="1" a="1"/>
  <c r="DO13" i="15" s="1"/>
  <c r="DO14" i="15" s="1" a="1"/>
  <c r="DO14" i="15" s="1"/>
  <c r="DN9" i="15"/>
  <c r="DN12" i="15" s="1" a="1"/>
  <c r="DN12" i="15" s="1"/>
  <c r="DM9" i="15"/>
  <c r="DM13" i="15" s="1" a="1"/>
  <c r="DM13" i="15" s="1"/>
  <c r="DL9" i="15"/>
  <c r="DL13" i="15" s="1" a="1"/>
  <c r="DL13" i="15" s="1"/>
  <c r="DL14" i="15" s="1" a="1"/>
  <c r="DL14" i="15" s="1"/>
  <c r="DK9" i="15"/>
  <c r="DK13" i="15" s="1" a="1"/>
  <c r="DK13" i="15" s="1"/>
  <c r="DK14" i="15" s="1" a="1"/>
  <c r="DK14" i="15" s="1"/>
  <c r="DJ9" i="15"/>
  <c r="DJ13" i="15" s="1" a="1"/>
  <c r="DJ13" i="15" s="1"/>
  <c r="DJ14" i="15" s="1" a="1"/>
  <c r="DJ14" i="15" s="1"/>
  <c r="DI9" i="15"/>
  <c r="DI12" i="15" s="1" a="1"/>
  <c r="DI12" i="15" s="1"/>
  <c r="DH9" i="15"/>
  <c r="DH12" i="15" s="1" a="1"/>
  <c r="DH12" i="15" s="1"/>
  <c r="DG9" i="15"/>
  <c r="DG13" i="15" s="1" a="1"/>
  <c r="DG13" i="15" s="1"/>
  <c r="DG14" i="15" s="1" a="1"/>
  <c r="DG14" i="15" s="1"/>
  <c r="DF9" i="15"/>
  <c r="DF12" i="15" s="1" a="1"/>
  <c r="DF12" i="15" s="1"/>
  <c r="DE9" i="15"/>
  <c r="DE12" i="15" s="1" a="1"/>
  <c r="DE12" i="15" s="1"/>
  <c r="DD9" i="15"/>
  <c r="DD13" i="15" s="1" a="1"/>
  <c r="DD13" i="15" s="1"/>
  <c r="DD14" i="15" s="1" a="1"/>
  <c r="DD14" i="15" s="1"/>
  <c r="DC9" i="15"/>
  <c r="DC13" i="15" s="1" a="1"/>
  <c r="DC13" i="15" s="1"/>
  <c r="DC14" i="15" s="1" a="1"/>
  <c r="DC14" i="15" s="1"/>
  <c r="DB9" i="15"/>
  <c r="DB12" i="15" s="1" a="1"/>
  <c r="DA9" i="15"/>
  <c r="DA13" i="15" s="1" a="1"/>
  <c r="DA13" i="15" s="1"/>
  <c r="DA14" i="15" s="1" a="1"/>
  <c r="DA14" i="15" s="1"/>
  <c r="CZ9" i="15"/>
  <c r="CZ12" i="15" s="1" a="1"/>
  <c r="CZ12" i="15" s="1"/>
  <c r="CY9" i="15"/>
  <c r="CY13" i="15" s="1" a="1"/>
  <c r="CY13" i="15" s="1"/>
  <c r="CY14" i="15" s="1" a="1"/>
  <c r="CY14" i="15" s="1"/>
  <c r="CX9" i="15"/>
  <c r="CX13" i="15" s="1" a="1"/>
  <c r="CX13" i="15" s="1"/>
  <c r="CX14" i="15" s="1" a="1"/>
  <c r="CX14" i="15" s="1"/>
  <c r="CW9" i="15"/>
  <c r="CW13" i="15" s="1" a="1"/>
  <c r="CW13" i="15" s="1"/>
  <c r="CW14" i="15" s="1" a="1"/>
  <c r="CW14" i="15" s="1"/>
  <c r="CV9" i="15"/>
  <c r="CV12" i="15" s="1" a="1"/>
  <c r="CV12" i="15" s="1"/>
  <c r="CU9" i="15"/>
  <c r="CU13" i="15" s="1" a="1"/>
  <c r="CU13" i="15" s="1"/>
  <c r="CU14" i="15" s="1" a="1"/>
  <c r="CU14" i="15" s="1"/>
  <c r="CT9" i="15"/>
  <c r="CT13" i="15" s="1" a="1"/>
  <c r="CT13" i="15" s="1"/>
  <c r="CT14" i="15" s="1" a="1"/>
  <c r="CT14" i="15" s="1"/>
  <c r="CS9" i="15"/>
  <c r="CS12" i="15" s="1" a="1"/>
  <c r="CS12" i="15" s="1"/>
  <c r="CR9" i="15"/>
  <c r="CR12" i="15" s="1" a="1"/>
  <c r="CR12" i="15" s="1"/>
  <c r="CQ9" i="15"/>
  <c r="CQ12" i="15" s="1" a="1"/>
  <c r="CQ12" i="15" s="1"/>
  <c r="CP9" i="15"/>
  <c r="CP12" i="15" s="1" a="1"/>
  <c r="CP12" i="15" s="1"/>
  <c r="CO9" i="15"/>
  <c r="CO13" i="15" s="1" a="1"/>
  <c r="CO13" i="15" s="1"/>
  <c r="CO14" i="15" s="1" a="1"/>
  <c r="CO14" i="15" s="1"/>
  <c r="CN9" i="15"/>
  <c r="CN13" i="15" s="1" a="1"/>
  <c r="CN13" i="15" s="1"/>
  <c r="CN14" i="15" s="1" a="1"/>
  <c r="CN14" i="15" s="1"/>
  <c r="CM9" i="15"/>
  <c r="CM13" i="15" s="1" a="1"/>
  <c r="CM13" i="15" s="1"/>
  <c r="CM14" i="15" s="1" a="1"/>
  <c r="CM14" i="15" s="1"/>
  <c r="CL9" i="15"/>
  <c r="CL13" i="15" s="1" a="1"/>
  <c r="CL13" i="15" s="1"/>
  <c r="CL14" i="15" s="1" a="1"/>
  <c r="CL14" i="15" s="1"/>
  <c r="CK9" i="15"/>
  <c r="CK12" i="15" s="1" a="1"/>
  <c r="CK12" i="15" s="1"/>
  <c r="CJ9" i="15"/>
  <c r="CJ12" i="15" s="1" a="1"/>
  <c r="CJ12" i="15" s="1"/>
  <c r="CI9" i="15"/>
  <c r="CI13" i="15" s="1" a="1"/>
  <c r="CI13" i="15" s="1"/>
  <c r="CI14" i="15" s="1" a="1"/>
  <c r="CI14" i="15" s="1"/>
  <c r="CH9" i="15"/>
  <c r="CH12" i="15" s="1" a="1"/>
  <c r="CH12" i="15" s="1"/>
  <c r="CG9" i="15"/>
  <c r="CG13" i="15" s="1" a="1"/>
  <c r="CG13" i="15" s="1"/>
  <c r="CG14" i="15" s="1" a="1"/>
  <c r="CG14" i="15" s="1"/>
  <c r="CF9" i="15"/>
  <c r="CF13" i="15" s="1" a="1"/>
  <c r="CF13" i="15" s="1"/>
  <c r="CF14" i="15" s="1" a="1"/>
  <c r="CF14" i="15" s="1"/>
  <c r="CE9" i="15"/>
  <c r="CD9" i="15"/>
  <c r="CC9" i="15"/>
  <c r="CC13" i="15" s="1" a="1"/>
  <c r="CC13" i="15" s="1"/>
  <c r="CC14" i="15" s="1" a="1"/>
  <c r="CC14" i="15" s="1"/>
  <c r="CB9" i="15"/>
  <c r="CB12" i="15" s="1" a="1"/>
  <c r="CB12" i="15" s="1"/>
  <c r="CA9" i="15"/>
  <c r="CA13" i="15" s="1" a="1"/>
  <c r="CA13" i="15" s="1"/>
  <c r="CA14" i="15" s="1" a="1"/>
  <c r="CA14" i="15" s="1"/>
  <c r="BZ9" i="15"/>
  <c r="BZ13" i="15" s="1" a="1"/>
  <c r="BZ13" i="15" s="1"/>
  <c r="BZ14" i="15" s="1" a="1"/>
  <c r="BZ14" i="15" s="1"/>
  <c r="BY9" i="15"/>
  <c r="BY13" i="15" s="1" a="1"/>
  <c r="BY13" i="15" s="1"/>
  <c r="BY14" i="15" s="1" a="1"/>
  <c r="BY14" i="15" s="1"/>
  <c r="BX9" i="15"/>
  <c r="BX13" i="15" s="1" a="1"/>
  <c r="BX13" i="15" s="1"/>
  <c r="BX14" i="15" s="1" a="1"/>
  <c r="BX14" i="15" s="1"/>
  <c r="BW9" i="15"/>
  <c r="BW13" i="15" s="1" a="1"/>
  <c r="BW13" i="15" s="1"/>
  <c r="BW14" i="15" s="1" a="1"/>
  <c r="BW14" i="15" s="1"/>
  <c r="BV9" i="15"/>
  <c r="BV12" i="15" s="1" a="1"/>
  <c r="BV12" i="15" s="1"/>
  <c r="BU9" i="15"/>
  <c r="BU12" i="15" s="1" a="1"/>
  <c r="BU12" i="15" s="1"/>
  <c r="BT9" i="15"/>
  <c r="BT12" i="15" s="1" a="1"/>
  <c r="BT12" i="15" s="1"/>
  <c r="BS9" i="15"/>
  <c r="BS12" i="15" s="1" a="1"/>
  <c r="BS12" i="15" s="1"/>
  <c r="BR9" i="15"/>
  <c r="BR12" i="15" s="1" a="1"/>
  <c r="BR12" i="15" s="1"/>
  <c r="BQ9" i="15"/>
  <c r="BQ13" i="15" s="1" a="1"/>
  <c r="BQ13" i="15" s="1"/>
  <c r="BQ14" i="15" s="1" a="1"/>
  <c r="BQ14" i="15" s="1"/>
  <c r="BP9" i="15"/>
  <c r="BO9" i="15"/>
  <c r="BO12" i="15" s="1" a="1"/>
  <c r="BO12" i="15" s="1"/>
  <c r="BN9" i="15"/>
  <c r="BN12" i="15" s="1" a="1"/>
  <c r="BN12" i="15" s="1"/>
  <c r="BM9" i="15"/>
  <c r="BM13" i="15" s="1" a="1"/>
  <c r="BM13" i="15" s="1"/>
  <c r="BM14" i="15" s="1" a="1"/>
  <c r="BM14" i="15" s="1"/>
  <c r="BL9" i="15"/>
  <c r="BL13" i="15" s="1" a="1"/>
  <c r="BL13" i="15" s="1"/>
  <c r="BL14" i="15" s="1" a="1"/>
  <c r="BL14" i="15" s="1"/>
  <c r="BK9" i="15"/>
  <c r="BK13" i="15" s="1" a="1"/>
  <c r="BK13" i="15" s="1"/>
  <c r="BK14" i="15" s="1" a="1"/>
  <c r="BK14" i="15" s="1"/>
  <c r="BJ9" i="15"/>
  <c r="BJ13" i="15" s="1" a="1"/>
  <c r="BJ13" i="15" s="1"/>
  <c r="BJ14" i="15" s="1" a="1"/>
  <c r="BJ14" i="15" s="1"/>
  <c r="BI9" i="15"/>
  <c r="BI13" i="15" s="1" a="1"/>
  <c r="BI13" i="15" s="1"/>
  <c r="BI14" i="15" s="1" a="1"/>
  <c r="BI14" i="15" s="1"/>
  <c r="BH9" i="15"/>
  <c r="BH12" i="15" s="1" a="1"/>
  <c r="BH12" i="15" s="1"/>
  <c r="BG9" i="15"/>
  <c r="BG12" i="15" s="1" a="1"/>
  <c r="BG12" i="15" s="1"/>
  <c r="BF9" i="15"/>
  <c r="BF12" i="15" s="1" a="1"/>
  <c r="BF12" i="15" s="1"/>
  <c r="BE9" i="15"/>
  <c r="BE13" i="15" s="1" a="1"/>
  <c r="BE13" i="15" s="1"/>
  <c r="BE14" i="15" s="1" a="1"/>
  <c r="BE14" i="15" s="1"/>
  <c r="BD9" i="15"/>
  <c r="BD13" i="15" s="1" a="1"/>
  <c r="BD13" i="15" s="1"/>
  <c r="BD14" i="15" s="1" a="1"/>
  <c r="BD14" i="15" s="1"/>
  <c r="BC9" i="15"/>
  <c r="BC12" i="15" s="1" a="1"/>
  <c r="BC12" i="15" s="1"/>
  <c r="BB9" i="15"/>
  <c r="BB13" i="15" s="1" a="1"/>
  <c r="BB13" i="15" s="1"/>
  <c r="BB14" i="15" s="1" a="1"/>
  <c r="BB14" i="15" s="1"/>
  <c r="BA9" i="15"/>
  <c r="BA12" i="15" s="1" a="1"/>
  <c r="BA12" i="15" s="1"/>
  <c r="AZ9" i="15"/>
  <c r="AZ12" i="15" s="1" a="1"/>
  <c r="AZ12" i="15" s="1"/>
  <c r="AY9" i="15"/>
  <c r="AY13" i="15" s="1" a="1"/>
  <c r="AY13" i="15" s="1"/>
  <c r="AX9" i="15"/>
  <c r="AX13" i="15" s="1" a="1"/>
  <c r="AX13" i="15" s="1"/>
  <c r="AX14" i="15" s="1" a="1"/>
  <c r="AX14" i="15" s="1"/>
  <c r="AW9" i="15"/>
  <c r="AW13" i="15" s="1" a="1"/>
  <c r="AW13" i="15" s="1"/>
  <c r="AW14" i="15" s="1" a="1"/>
  <c r="AW14" i="15" s="1"/>
  <c r="AV9" i="15"/>
  <c r="AV13" i="15" s="1" a="1"/>
  <c r="AV13" i="15" s="1"/>
  <c r="AV14" i="15" s="1" a="1"/>
  <c r="AV14" i="15" s="1"/>
  <c r="AU9" i="15"/>
  <c r="AU13" i="15" s="1" a="1"/>
  <c r="AU13" i="15" s="1"/>
  <c r="AU14" i="15" s="1" a="1"/>
  <c r="AU14" i="15" s="1"/>
  <c r="AT9" i="15"/>
  <c r="AT12" i="15" s="1" a="1"/>
  <c r="AT12" i="15" s="1"/>
  <c r="AS9" i="15"/>
  <c r="AS13" i="15" s="1" a="1"/>
  <c r="AS13" i="15" s="1"/>
  <c r="AR9" i="15"/>
  <c r="AR13" i="15" s="1" a="1"/>
  <c r="AR13" i="15" s="1"/>
  <c r="AR14" i="15" s="1" a="1"/>
  <c r="AR14" i="15" s="1"/>
  <c r="AQ9" i="15"/>
  <c r="AQ13" i="15" s="1" a="1"/>
  <c r="AQ13" i="15" s="1"/>
  <c r="AQ14" i="15" s="1" a="1"/>
  <c r="AQ14" i="15" s="1"/>
  <c r="AP9" i="15"/>
  <c r="AP12" i="15" s="1" a="1"/>
  <c r="AP12" i="15" s="1"/>
  <c r="AO9" i="15"/>
  <c r="AO12" i="15" s="1" a="1"/>
  <c r="AO12" i="15" s="1"/>
  <c r="AN9" i="15"/>
  <c r="AN12" i="15" s="1" a="1"/>
  <c r="AN12" i="15" s="1"/>
  <c r="AM9" i="15"/>
  <c r="AM13" i="15" s="1" a="1"/>
  <c r="AM13" i="15" s="1"/>
  <c r="AM14" i="15" s="1" a="1"/>
  <c r="AM14" i="15" s="1"/>
  <c r="AL9" i="15"/>
  <c r="AL12" i="15" s="1" a="1"/>
  <c r="AL12" i="15" s="1"/>
  <c r="AK9" i="15"/>
  <c r="AK12" i="15" s="1" a="1"/>
  <c r="AK12" i="15" s="1"/>
  <c r="AJ9" i="15"/>
  <c r="AJ13" i="15" s="1" a="1"/>
  <c r="AJ13" i="15" s="1"/>
  <c r="AJ14" i="15" s="1" a="1"/>
  <c r="AJ14" i="15" s="1"/>
  <c r="AI9" i="15"/>
  <c r="AI13" i="15" s="1" a="1"/>
  <c r="AI13" i="15" s="1"/>
  <c r="AI14" i="15" s="1" a="1"/>
  <c r="AI14" i="15" s="1"/>
  <c r="AH9" i="15"/>
  <c r="AH12" i="15" s="1" a="1"/>
  <c r="AH12" i="15" s="1"/>
  <c r="AG9" i="15"/>
  <c r="AG13" i="15" s="1" a="1"/>
  <c r="AG13" i="15" s="1"/>
  <c r="AG14" i="15" s="1" a="1"/>
  <c r="AG14" i="15" s="1"/>
  <c r="AF9" i="15"/>
  <c r="AF13" i="15" s="1" a="1"/>
  <c r="AF13" i="15" s="1"/>
  <c r="AF14" i="15" s="1" a="1"/>
  <c r="AF14" i="15" s="1"/>
  <c r="AE9" i="15"/>
  <c r="AE13" i="15" s="1" a="1"/>
  <c r="AE13" i="15" s="1"/>
  <c r="AE14" i="15" s="1" a="1"/>
  <c r="AE14" i="15" s="1"/>
  <c r="AD9" i="15"/>
  <c r="AD13" i="15" s="1" a="1"/>
  <c r="AD13" i="15" s="1"/>
  <c r="AD14" i="15" s="1" a="1"/>
  <c r="AD14" i="15" s="1"/>
  <c r="AC9" i="15"/>
  <c r="AC13" i="15" s="1" a="1"/>
  <c r="AC13" i="15" s="1"/>
  <c r="AC14" i="15" s="1" a="1"/>
  <c r="AC14" i="15" s="1"/>
  <c r="AB9" i="15"/>
  <c r="AB12" i="15" s="1" a="1"/>
  <c r="AB12" i="15" s="1"/>
  <c r="AA9" i="15"/>
  <c r="AA13" i="15" s="1" a="1"/>
  <c r="AA13" i="15" s="1"/>
  <c r="AA14" i="15" s="1" a="1"/>
  <c r="AA14" i="15" s="1"/>
  <c r="Z9" i="15"/>
  <c r="Z12" i="15" s="1" a="1"/>
  <c r="Z12" i="15" s="1"/>
  <c r="Y9" i="15"/>
  <c r="Y12" i="15" s="1" a="1"/>
  <c r="Y12" i="15" s="1"/>
  <c r="X9" i="15"/>
  <c r="W9" i="15"/>
  <c r="V9" i="15"/>
  <c r="V13" i="15" s="1" a="1"/>
  <c r="V13" i="15" s="1"/>
  <c r="V14" i="15" s="1" a="1"/>
  <c r="V14" i="15" s="1"/>
  <c r="U9" i="15"/>
  <c r="U13" i="15" s="1" a="1"/>
  <c r="U13" i="15" s="1"/>
  <c r="U14" i="15" s="1" a="1"/>
  <c r="U14" i="15" s="1"/>
  <c r="T9" i="15"/>
  <c r="T13" i="15" s="1" a="1"/>
  <c r="T13" i="15" s="1"/>
  <c r="T14" i="15" s="1" a="1"/>
  <c r="T14" i="15" s="1"/>
  <c r="S9" i="15"/>
  <c r="S13" i="15" s="1" a="1"/>
  <c r="S13" i="15" s="1"/>
  <c r="S14" i="15" s="1" a="1"/>
  <c r="S14" i="15" s="1"/>
  <c r="R9" i="15"/>
  <c r="R13" i="15" s="1" a="1"/>
  <c r="R13" i="15" s="1"/>
  <c r="R14" i="15" s="1" a="1"/>
  <c r="R14" i="15" s="1"/>
  <c r="Q9" i="15"/>
  <c r="Q12" i="15" s="1" a="1"/>
  <c r="Q12" i="15" s="1"/>
  <c r="P9" i="15"/>
  <c r="P12" i="15" s="1" a="1"/>
  <c r="P12" i="15" s="1"/>
  <c r="O9" i="15"/>
  <c r="O13" i="15" s="1" a="1"/>
  <c r="O13" i="15" s="1"/>
  <c r="O14" i="15" s="1" a="1"/>
  <c r="O14" i="15" s="1"/>
  <c r="N9" i="15"/>
  <c r="N12" i="15" s="1" a="1"/>
  <c r="N12" i="15" s="1"/>
  <c r="M9" i="15"/>
  <c r="M13" i="15" s="1" a="1"/>
  <c r="M13" i="15" s="1"/>
  <c r="M14" i="15" s="1" a="1"/>
  <c r="M14" i="15" s="1"/>
  <c r="L9" i="15"/>
  <c r="L13" i="15" s="1" a="1"/>
  <c r="L13" i="15" s="1"/>
  <c r="L14" i="15" s="1" a="1"/>
  <c r="L14" i="15" s="1"/>
  <c r="K9" i="15"/>
  <c r="J9" i="15"/>
  <c r="J12" i="15" s="1" a="1"/>
  <c r="J12" i="15" s="1"/>
  <c r="I9" i="15"/>
  <c r="I13" i="15" s="1" a="1"/>
  <c r="I13" i="15" s="1"/>
  <c r="I14" i="15" s="1" a="1"/>
  <c r="I14" i="15" s="1"/>
  <c r="H9" i="15"/>
  <c r="H12" i="15" s="1" a="1"/>
  <c r="H12" i="15" s="1"/>
  <c r="G9" i="15"/>
  <c r="G13" i="15" s="1" a="1"/>
  <c r="G13" i="15" s="1"/>
  <c r="G14" i="15" s="1" a="1"/>
  <c r="G14" i="15" s="1"/>
  <c r="F9" i="15"/>
  <c r="F13" i="15" s="1" a="1"/>
  <c r="F13" i="15" s="1"/>
  <c r="F14" i="15" s="1" a="1"/>
  <c r="F14" i="15" s="1"/>
  <c r="E9" i="15"/>
  <c r="E13" i="15" s="1" a="1"/>
  <c r="E13" i="15" s="1"/>
  <c r="E14" i="15" s="1" a="1"/>
  <c r="E14" i="15" s="1"/>
  <c r="D9" i="15"/>
  <c r="D12" i="15" s="1" a="1"/>
  <c r="D12" i="15" s="1"/>
  <c r="C9" i="15"/>
  <c r="C13" i="15" s="1" a="1"/>
  <c r="C13" i="15" s="1"/>
  <c r="C14" i="15" s="1" a="1"/>
  <c r="C14" i="15" s="1"/>
  <c r="B9" i="15"/>
  <c r="B13" i="15" s="1" a="1"/>
  <c r="B13" i="15" s="1"/>
  <c r="B14" i="15" s="1" a="1"/>
  <c r="B14" i="15" s="1"/>
  <c r="O2" i="9"/>
  <c r="BB12" i="15" l="1" a="1"/>
  <c r="BB12" i="15" s="1"/>
  <c r="AD12" i="15" a="1"/>
  <c r="AD12" i="15" s="1"/>
  <c r="CF12" i="15" a="1"/>
  <c r="CF12" i="15" s="1"/>
  <c r="CN12" i="15" a="1"/>
  <c r="CN12" i="15" s="1"/>
  <c r="DD12" i="15" a="1"/>
  <c r="DD12" i="15" s="1"/>
  <c r="DL12" i="15" a="1"/>
  <c r="DL12" i="15" s="1"/>
  <c r="EB12" i="15" a="1"/>
  <c r="EB12" i="15" s="1"/>
  <c r="EJ12" i="15" a="1"/>
  <c r="EJ12" i="15" s="1"/>
  <c r="EZ12" i="15" a="1"/>
  <c r="EZ12" i="15" s="1"/>
  <c r="FN12" i="15" a="1"/>
  <c r="FN12" i="15" s="1"/>
  <c r="GC12" i="15" a="1"/>
  <c r="GC12" i="15" s="1"/>
  <c r="Z13" i="15" a="1"/>
  <c r="Z13" i="15" s="1"/>
  <c r="Z14" i="15" s="1" a="1"/>
  <c r="Z14" i="15" s="1"/>
  <c r="AO13" i="15" a="1"/>
  <c r="AO13" i="15" s="1"/>
  <c r="AO14" i="15" s="1" a="1"/>
  <c r="AO14" i="15" s="1"/>
  <c r="BC13" i="15" a="1"/>
  <c r="BC13" i="15" s="1"/>
  <c r="BC14" i="15" s="1" a="1"/>
  <c r="BC14" i="15" s="1"/>
  <c r="BR13" i="15" a="1"/>
  <c r="BR13" i="15" s="1"/>
  <c r="BR14" i="15" s="1" a="1"/>
  <c r="BR14" i="15" s="1"/>
  <c r="DI13" i="15" a="1"/>
  <c r="DI13" i="15" s="1"/>
  <c r="DI14" i="15" s="1" a="1"/>
  <c r="DI14" i="15" s="1"/>
  <c r="DZ13" i="15" a="1"/>
  <c r="DZ13" i="15" s="1"/>
  <c r="DZ14" i="15" s="1" a="1"/>
  <c r="DZ14" i="15" s="1"/>
  <c r="ER13" i="15" a="1"/>
  <c r="ER13" i="15" s="1"/>
  <c r="ER14" i="15" s="1" a="1"/>
  <c r="ER14" i="15" s="1"/>
  <c r="FJ13" i="15" a="1"/>
  <c r="FJ13" i="15" s="1"/>
  <c r="FJ14" i="15" s="1" a="1"/>
  <c r="FJ14" i="15" s="1"/>
  <c r="GB13" i="15" a="1"/>
  <c r="GB13" i="15" s="1"/>
  <c r="GB14" i="15" s="1" a="1"/>
  <c r="GB14" i="15" s="1"/>
  <c r="AC12" i="15" a="1"/>
  <c r="AC12" i="15" s="1"/>
  <c r="BA13" i="15" a="1"/>
  <c r="BA13" i="15" s="1"/>
  <c r="BA14" i="15" s="1" a="1"/>
  <c r="BA14" i="15" s="1"/>
  <c r="G12" i="15" a="1"/>
  <c r="G12" i="15" s="1"/>
  <c r="M12" i="15" a="1"/>
  <c r="M12" i="15" s="1"/>
  <c r="S12" i="15" a="1"/>
  <c r="S12" i="15" s="1"/>
  <c r="AE12" i="15" a="1"/>
  <c r="AE12" i="15" s="1"/>
  <c r="AQ12" i="15" a="1"/>
  <c r="AQ12" i="15" s="1"/>
  <c r="AW12" i="15" a="1"/>
  <c r="AW12" i="15" s="1"/>
  <c r="BD12" i="15" a="1"/>
  <c r="BD12" i="15" s="1"/>
  <c r="BK12" i="15" a="1"/>
  <c r="BK12" i="15" s="1"/>
  <c r="BY12" i="15" a="1"/>
  <c r="BY12" i="15" s="1"/>
  <c r="CG12" i="15" a="1"/>
  <c r="CG12" i="15" s="1"/>
  <c r="EC12" i="15" a="1"/>
  <c r="EC12" i="15" s="1"/>
  <c r="FA12" i="15" a="1"/>
  <c r="FA12" i="15" s="1"/>
  <c r="FO12" i="15" a="1"/>
  <c r="FO12" i="15" s="1"/>
  <c r="GD12" i="15" a="1"/>
  <c r="GD12" i="15" s="1"/>
  <c r="AB13" i="15" a="1"/>
  <c r="AB13" i="15" s="1"/>
  <c r="AB14" i="15" s="1" a="1"/>
  <c r="AB14" i="15" s="1"/>
  <c r="AP13" i="15" a="1"/>
  <c r="AP13" i="15" s="1"/>
  <c r="AP14" i="15" s="1" a="1"/>
  <c r="AP14" i="15" s="1"/>
  <c r="BS13" i="15" a="1"/>
  <c r="BS13" i="15" s="1"/>
  <c r="BS14" i="15" s="1" a="1"/>
  <c r="BS14" i="15" s="1"/>
  <c r="CV13" i="15" a="1"/>
  <c r="CV13" i="15" s="1"/>
  <c r="CV14" i="15" s="1" a="1"/>
  <c r="CV14" i="15" s="1"/>
  <c r="ES13" i="15" a="1"/>
  <c r="ES13" i="15" s="1"/>
  <c r="ES14" i="15" s="1" a="1"/>
  <c r="ES14" i="15" s="1"/>
  <c r="F12" i="15" a="1"/>
  <c r="F12" i="15" s="1"/>
  <c r="BZ12" i="15" a="1"/>
  <c r="BZ12" i="15" s="1"/>
  <c r="CO12" i="15" a="1"/>
  <c r="CO12" i="15" s="1"/>
  <c r="CW12" i="15" a="1"/>
  <c r="CW12" i="15" s="1"/>
  <c r="DM12" i="15" a="1"/>
  <c r="DM12" i="15" s="1"/>
  <c r="DU12" i="15" a="1"/>
  <c r="DU12" i="15" s="1"/>
  <c r="EK12" i="15" a="1"/>
  <c r="EK12" i="15" s="1"/>
  <c r="FB12" i="15" a="1"/>
  <c r="FB12" i="15" s="1"/>
  <c r="FQ12" i="15" a="1"/>
  <c r="FQ12" i="15" s="1"/>
  <c r="GE12" i="15" a="1"/>
  <c r="GE12" i="15" s="1"/>
  <c r="N13" i="15" a="1"/>
  <c r="N13" i="15" s="1"/>
  <c r="N14" i="15" s="1" a="1"/>
  <c r="N14" i="15" s="1"/>
  <c r="BF13" i="15" a="1"/>
  <c r="BF13" i="15" s="1"/>
  <c r="BF14" i="15" s="1" a="1"/>
  <c r="BF14" i="15" s="1"/>
  <c r="BT13" i="15" a="1"/>
  <c r="BT13" i="15" s="1"/>
  <c r="BT14" i="15" s="1" a="1"/>
  <c r="BT14" i="15" s="1"/>
  <c r="CH13" i="15" a="1"/>
  <c r="CH13" i="15" s="1"/>
  <c r="CH14" i="15" s="1" a="1"/>
  <c r="CH14" i="15" s="1"/>
  <c r="EU13" i="15" a="1"/>
  <c r="EU13" i="15" s="1"/>
  <c r="EU14" i="15" s="1" a="1"/>
  <c r="EU14" i="15" s="1"/>
  <c r="E12" i="15" a="1"/>
  <c r="E12" i="15" s="1"/>
  <c r="R12" i="15" a="1"/>
  <c r="R12" i="15" s="1"/>
  <c r="B12" i="15" a="1"/>
  <c r="B12" i="15" s="1"/>
  <c r="T12" i="15" a="1"/>
  <c r="T12" i="15" s="1"/>
  <c r="AF12" i="15" a="1"/>
  <c r="AF12" i="15" s="1"/>
  <c r="AR12" i="15" a="1"/>
  <c r="AR12" i="15" s="1"/>
  <c r="AX12" i="15" a="1"/>
  <c r="AX12" i="15" s="1"/>
  <c r="BE12" i="15" a="1"/>
  <c r="BE12" i="15" s="1"/>
  <c r="BL12" i="15" a="1"/>
  <c r="BL12" i="15" s="1"/>
  <c r="CA12" i="15" a="1"/>
  <c r="CA12" i="15" s="1"/>
  <c r="CX12" i="15" a="1"/>
  <c r="CX12" i="15" s="1"/>
  <c r="DV12" i="15" a="1"/>
  <c r="DV12" i="15" s="1"/>
  <c r="ED12" i="15" a="1"/>
  <c r="ED12" i="15" s="1"/>
  <c r="ET12" i="15" a="1"/>
  <c r="ET12" i="15" s="1"/>
  <c r="FC12" i="15" a="1"/>
  <c r="FC12" i="15" s="1"/>
  <c r="FR12" i="15" a="1"/>
  <c r="FR12" i="15" s="1"/>
  <c r="GF12" i="15" a="1"/>
  <c r="GF12" i="15" s="1"/>
  <c r="P13" i="15" a="1"/>
  <c r="P13" i="15" s="1"/>
  <c r="P14" i="15" s="1" a="1"/>
  <c r="P14" i="15" s="1"/>
  <c r="BG13" i="15" a="1"/>
  <c r="BG13" i="15" s="1"/>
  <c r="BG14" i="15" s="1" a="1"/>
  <c r="BG14" i="15" s="1"/>
  <c r="BU13" i="15" a="1"/>
  <c r="BU13" i="15" s="1"/>
  <c r="BU14" i="15" s="1" a="1"/>
  <c r="BU14" i="15" s="1"/>
  <c r="CJ13" i="15" a="1"/>
  <c r="CJ13" i="15" s="1"/>
  <c r="CJ14" i="15" s="1" a="1"/>
  <c r="CJ14" i="15" s="1"/>
  <c r="EV13" i="15" a="1"/>
  <c r="EV13" i="15" s="1"/>
  <c r="EV14" i="15" s="1" a="1"/>
  <c r="EV14" i="15" s="1"/>
  <c r="CY12" i="15" a="1"/>
  <c r="CY12" i="15" s="1"/>
  <c r="FE12" i="15" a="1"/>
  <c r="FE12" i="15" s="1"/>
  <c r="FS12" i="15" a="1"/>
  <c r="FS12" i="15" s="1"/>
  <c r="Q13" i="15" a="1"/>
  <c r="Q13" i="15" s="1"/>
  <c r="Q14" i="15" s="1" a="1"/>
  <c r="Q14" i="15" s="1"/>
  <c r="AT13" i="15" a="1"/>
  <c r="AT13" i="15" s="1"/>
  <c r="AT14" i="15" s="1" a="1"/>
  <c r="AT14" i="15" s="1"/>
  <c r="BH13" i="15" a="1"/>
  <c r="BH13" i="15" s="1"/>
  <c r="BH14" i="15" s="1" a="1"/>
  <c r="BH14" i="15" s="1"/>
  <c r="BV13" i="15" a="1"/>
  <c r="BV13" i="15" s="1"/>
  <c r="BV14" i="15" s="1" a="1"/>
  <c r="BV14" i="15" s="1"/>
  <c r="CK13" i="15" a="1"/>
  <c r="CK13" i="15" s="1"/>
  <c r="CK14" i="15" s="1" a="1"/>
  <c r="CK14" i="15" s="1"/>
  <c r="DN13" i="15" a="1"/>
  <c r="DN13" i="15" s="1"/>
  <c r="DN14" i="15" s="1" a="1"/>
  <c r="DN14" i="15" s="1"/>
  <c r="EF13" i="15" a="1"/>
  <c r="EF13" i="15" s="1"/>
  <c r="EF14" i="15" s="1" a="1"/>
  <c r="EF14" i="15" s="1"/>
  <c r="EX13" i="15" a="1"/>
  <c r="EX13" i="15" s="1"/>
  <c r="EX14" i="15" s="1" a="1"/>
  <c r="EX14" i="15" s="1"/>
  <c r="FP13" i="15" a="1"/>
  <c r="FP13" i="15" s="1"/>
  <c r="FP14" i="15" s="1" a="1"/>
  <c r="FP14" i="15" s="1"/>
  <c r="C12" i="15" a="1"/>
  <c r="C12" i="15" s="1"/>
  <c r="I12" i="15" a="1"/>
  <c r="I12" i="15" s="1"/>
  <c r="O12" i="15" a="1"/>
  <c r="O12" i="15" s="1"/>
  <c r="U12" i="15" a="1"/>
  <c r="U12" i="15" s="1"/>
  <c r="AA12" i="15" a="1"/>
  <c r="AA12" i="15" s="1"/>
  <c r="AG12" i="15" a="1"/>
  <c r="AG12" i="15" s="1"/>
  <c r="AM12" i="15" a="1"/>
  <c r="AM12" i="15" s="1"/>
  <c r="AS12" i="15" a="1"/>
  <c r="AS12" i="15" s="1"/>
  <c r="AY12" i="15" a="1"/>
  <c r="AY12" i="15" s="1"/>
  <c r="BM12" i="15" a="1"/>
  <c r="BM12" i="15" s="1"/>
  <c r="CI12" i="15" a="1"/>
  <c r="CI12" i="15" s="1"/>
  <c r="DG12" i="15" a="1"/>
  <c r="DG12" i="15" s="1"/>
  <c r="DO12" i="15" a="1"/>
  <c r="DO12" i="15" s="1"/>
  <c r="EE12" i="15" a="1"/>
  <c r="EE12" i="15" s="1"/>
  <c r="FF12" i="15" a="1"/>
  <c r="FF12" i="15" s="1"/>
  <c r="FT12" i="15" a="1"/>
  <c r="FT12" i="15" s="1"/>
  <c r="D13" i="15" a="1"/>
  <c r="D13" i="15" s="1"/>
  <c r="D14" i="15" s="1" a="1"/>
  <c r="D14" i="15" s="1"/>
  <c r="CZ13" i="15" a="1"/>
  <c r="CZ13" i="15" s="1"/>
  <c r="CZ14" i="15" s="1" a="1"/>
  <c r="CZ14" i="15" s="1"/>
  <c r="EG13" i="15" a="1"/>
  <c r="EG13" i="15" s="1"/>
  <c r="EG14" i="15" s="1" a="1"/>
  <c r="EG14" i="15" s="1"/>
  <c r="DP12" i="15" a="1"/>
  <c r="DP12" i="15" s="1"/>
  <c r="EN12" i="15" a="1"/>
  <c r="EN12" i="15" s="1"/>
  <c r="FU12" i="15" a="1"/>
  <c r="FU12" i="15" s="1"/>
  <c r="AH13" i="15" a="1"/>
  <c r="AH13" i="15" s="1"/>
  <c r="AH14" i="15" s="1" a="1"/>
  <c r="AH14" i="15" s="1"/>
  <c r="DB13" i="15" a="1"/>
  <c r="DB13" i="15" s="1"/>
  <c r="DB14" i="15" s="1" a="1"/>
  <c r="DB14" i="15" s="1"/>
  <c r="DQ13" i="15" a="1"/>
  <c r="DQ13" i="15" s="1"/>
  <c r="DQ14" i="15" s="1" a="1"/>
  <c r="DQ14" i="15" s="1"/>
  <c r="V12" i="15" a="1"/>
  <c r="V12" i="15" s="1"/>
  <c r="CC12" i="15" a="1"/>
  <c r="CC12" i="15" s="1"/>
  <c r="DA12" i="15" a="1"/>
  <c r="DA12" i="15" s="1"/>
  <c r="DY12" i="15" a="1"/>
  <c r="DY12" i="15" s="1"/>
  <c r="EW12" i="15" a="1"/>
  <c r="EW12" i="15" s="1"/>
  <c r="FI12" i="15" a="1"/>
  <c r="FI12" i="15" s="1"/>
  <c r="FX12" i="15" a="1"/>
  <c r="FX12" i="15" s="1"/>
  <c r="CP13" i="15" a="1"/>
  <c r="CP13" i="15" s="1"/>
  <c r="CP14" i="15" s="1" a="1"/>
  <c r="CP14" i="15" s="1"/>
  <c r="DT13" i="15" a="1"/>
  <c r="DT13" i="15" s="1"/>
  <c r="DT14" i="15" s="1" a="1"/>
  <c r="DT14" i="15" s="1"/>
  <c r="EL13" i="15" a="1"/>
  <c r="EL13" i="15" s="1"/>
  <c r="EL14" i="15" s="1" a="1"/>
  <c r="EL14" i="15" s="1"/>
  <c r="FD13" i="15" a="1"/>
  <c r="FD13" i="15" s="1"/>
  <c r="FD14" i="15" s="1" a="1"/>
  <c r="FD14" i="15" s="1"/>
  <c r="FV13" i="15" a="1"/>
  <c r="FV13" i="15" s="1"/>
  <c r="FV14" i="15" s="1" a="1"/>
  <c r="FV14" i="15" s="1"/>
  <c r="L9" i="9" a="1"/>
  <c r="L9" i="9" s="1"/>
  <c r="L10" i="9" a="1"/>
  <c r="L10" i="9" s="1"/>
  <c r="L16" i="9" a="1"/>
  <c r="L16" i="9" s="1"/>
  <c r="L17" i="9" a="1"/>
  <c r="L17" i="9"/>
  <c r="L22" i="9" a="1"/>
  <c r="L22" i="9" s="1"/>
  <c r="L31" i="9" a="1"/>
  <c r="L31" i="9"/>
  <c r="L38" i="9" a="1"/>
  <c r="L38" i="9"/>
  <c r="L45" i="9" a="1"/>
  <c r="L45" i="9" s="1"/>
  <c r="L46" i="9" a="1"/>
  <c r="L46" i="9" s="1"/>
  <c r="L52" i="9" a="1"/>
  <c r="L52" i="9" s="1"/>
  <c r="L53" i="9" a="1"/>
  <c r="L53" i="9"/>
  <c r="L58" i="9" a="1"/>
  <c r="L58" i="9" s="1"/>
  <c r="L67" i="9" a="1"/>
  <c r="L67" i="9"/>
  <c r="L74" i="9" a="1"/>
  <c r="L74" i="9"/>
  <c r="L81" i="9" a="1"/>
  <c r="L81" i="9" s="1"/>
  <c r="L82" i="9" a="1"/>
  <c r="L82" i="9" s="1"/>
  <c r="L88" i="9" a="1"/>
  <c r="L88" i="9" s="1"/>
  <c r="L89" i="9" a="1"/>
  <c r="L89" i="9"/>
  <c r="L94" i="9" a="1"/>
  <c r="L94" i="9" s="1"/>
  <c r="L103" i="9" a="1"/>
  <c r="L103" i="9"/>
  <c r="L110" i="9" a="1"/>
  <c r="L110" i="9"/>
  <c r="L117" i="9" a="1"/>
  <c r="L117" i="9" s="1"/>
  <c r="L118" i="9" a="1"/>
  <c r="L118" i="9" s="1"/>
  <c r="L124" i="9" a="1"/>
  <c r="L124" i="9" s="1"/>
  <c r="L125" i="9" a="1"/>
  <c r="L125" i="9"/>
  <c r="L130" i="9" a="1"/>
  <c r="L130" i="9" s="1"/>
  <c r="L139" i="9" a="1"/>
  <c r="L139" i="9"/>
  <c r="L146" i="9" a="1"/>
  <c r="L146" i="9"/>
  <c r="L153" i="9" a="1"/>
  <c r="L153" i="9" s="1"/>
  <c r="L154" i="9" a="1"/>
  <c r="L154" i="9" s="1"/>
  <c r="L160" i="9" a="1"/>
  <c r="L160" i="9" s="1"/>
  <c r="L161" i="9" a="1"/>
  <c r="L161" i="9"/>
  <c r="L166" i="9" a="1"/>
  <c r="L166" i="9" s="1"/>
  <c r="L175" i="9" a="1"/>
  <c r="L175" i="9"/>
  <c r="L182" i="9" a="1"/>
  <c r="L182" i="9"/>
  <c r="L2" i="9" a="1"/>
  <c r="L2" i="9" s="1"/>
  <c r="K2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2" i="9"/>
  <c r="I3" i="9"/>
  <c r="M3" i="9" s="1" a="1"/>
  <c r="M3" i="9" s="1"/>
  <c r="N3" i="9" s="1" a="1"/>
  <c r="N3" i="9" s="1"/>
  <c r="I4" i="9"/>
  <c r="M4" i="9" s="1" a="1"/>
  <c r="M4" i="9" s="1"/>
  <c r="N4" i="9" s="1" a="1"/>
  <c r="N4" i="9" s="1"/>
  <c r="I5" i="9"/>
  <c r="M5" i="9" s="1" a="1"/>
  <c r="M5" i="9" s="1"/>
  <c r="N5" i="9" s="1" a="1"/>
  <c r="N5" i="9" s="1"/>
  <c r="I6" i="9"/>
  <c r="M6" i="9" s="1" a="1"/>
  <c r="M6" i="9" s="1"/>
  <c r="N6" i="9" s="1" a="1"/>
  <c r="N6" i="9" s="1"/>
  <c r="I7" i="9"/>
  <c r="M7" i="9" s="1" a="1"/>
  <c r="M7" i="9" s="1"/>
  <c r="N7" i="9" s="1" a="1"/>
  <c r="N7" i="9" s="1"/>
  <c r="I8" i="9"/>
  <c r="M8" i="9" s="1" a="1"/>
  <c r="M8" i="9" s="1"/>
  <c r="N8" i="9" s="1" a="1"/>
  <c r="N8" i="9" s="1"/>
  <c r="I9" i="9"/>
  <c r="M9" i="9" s="1" a="1"/>
  <c r="M9" i="9" s="1"/>
  <c r="N9" i="9" s="1" a="1"/>
  <c r="N9" i="9" s="1"/>
  <c r="I10" i="9"/>
  <c r="M10" i="9" s="1" a="1"/>
  <c r="M10" i="9" s="1"/>
  <c r="N10" i="9" s="1" a="1"/>
  <c r="N10" i="9" s="1"/>
  <c r="I11" i="9"/>
  <c r="M11" i="9" s="1" a="1"/>
  <c r="M11" i="9" s="1"/>
  <c r="N11" i="9" s="1" a="1"/>
  <c r="N11" i="9" s="1"/>
  <c r="I12" i="9"/>
  <c r="M12" i="9" s="1" a="1"/>
  <c r="M12" i="9" s="1"/>
  <c r="N12" i="9" s="1" a="1"/>
  <c r="N12" i="9" s="1"/>
  <c r="I13" i="9"/>
  <c r="M13" i="9" s="1" a="1"/>
  <c r="M13" i="9" s="1"/>
  <c r="N13" i="9" s="1" a="1"/>
  <c r="N13" i="9" s="1"/>
  <c r="I14" i="9"/>
  <c r="M14" i="9" s="1" a="1"/>
  <c r="M14" i="9" s="1"/>
  <c r="N14" i="9" s="1" a="1"/>
  <c r="N14" i="9" s="1"/>
  <c r="I15" i="9"/>
  <c r="M15" i="9" s="1" a="1"/>
  <c r="M15" i="9" s="1"/>
  <c r="N15" i="9" s="1" a="1"/>
  <c r="N15" i="9" s="1"/>
  <c r="I16" i="9"/>
  <c r="M16" i="9" s="1" a="1"/>
  <c r="M16" i="9" s="1"/>
  <c r="N16" i="9" s="1" a="1"/>
  <c r="N16" i="9" s="1"/>
  <c r="I17" i="9"/>
  <c r="M17" i="9" s="1" a="1"/>
  <c r="M17" i="9" s="1"/>
  <c r="N17" i="9" s="1" a="1"/>
  <c r="N17" i="9" s="1"/>
  <c r="I18" i="9"/>
  <c r="M18" i="9" s="1" a="1"/>
  <c r="M18" i="9" s="1"/>
  <c r="N18" i="9" s="1" a="1"/>
  <c r="N18" i="9" s="1"/>
  <c r="I19" i="9"/>
  <c r="M19" i="9" s="1" a="1"/>
  <c r="M19" i="9" s="1"/>
  <c r="N19" i="9" s="1" a="1"/>
  <c r="N19" i="9" s="1"/>
  <c r="I20" i="9"/>
  <c r="M20" i="9" s="1" a="1"/>
  <c r="M20" i="9" s="1"/>
  <c r="N20" i="9" s="1" a="1"/>
  <c r="N20" i="9" s="1"/>
  <c r="I21" i="9"/>
  <c r="M21" i="9" s="1" a="1"/>
  <c r="M21" i="9" s="1"/>
  <c r="N21" i="9" s="1" a="1"/>
  <c r="N21" i="9" s="1"/>
  <c r="I22" i="9"/>
  <c r="M22" i="9" s="1" a="1"/>
  <c r="M22" i="9" s="1"/>
  <c r="N22" i="9" s="1" a="1"/>
  <c r="N22" i="9" s="1"/>
  <c r="I23" i="9"/>
  <c r="M23" i="9" s="1" a="1"/>
  <c r="M23" i="9" s="1"/>
  <c r="N23" i="9" s="1" a="1"/>
  <c r="N23" i="9" s="1"/>
  <c r="I24" i="9"/>
  <c r="M24" i="9" s="1" a="1"/>
  <c r="M24" i="9" s="1"/>
  <c r="N24" i="9" s="1" a="1"/>
  <c r="N24" i="9" s="1"/>
  <c r="I25" i="9"/>
  <c r="M25" i="9" s="1" a="1"/>
  <c r="M25" i="9" s="1"/>
  <c r="N25" i="9" s="1" a="1"/>
  <c r="N25" i="9" s="1"/>
  <c r="I26" i="9"/>
  <c r="M26" i="9" s="1" a="1"/>
  <c r="M26" i="9" s="1"/>
  <c r="N26" i="9" s="1" a="1"/>
  <c r="N26" i="9" s="1"/>
  <c r="I27" i="9"/>
  <c r="M27" i="9" s="1" a="1"/>
  <c r="M27" i="9" s="1"/>
  <c r="N27" i="9" s="1" a="1"/>
  <c r="N27" i="9" s="1"/>
  <c r="I28" i="9"/>
  <c r="M28" i="9" s="1" a="1"/>
  <c r="M28" i="9" s="1"/>
  <c r="N28" i="9" s="1" a="1"/>
  <c r="N28" i="9" s="1"/>
  <c r="I29" i="9"/>
  <c r="M29" i="9" s="1" a="1"/>
  <c r="M29" i="9" s="1"/>
  <c r="N29" i="9" s="1" a="1"/>
  <c r="N29" i="9" s="1"/>
  <c r="I30" i="9"/>
  <c r="M30" i="9" s="1" a="1"/>
  <c r="M30" i="9" s="1"/>
  <c r="N30" i="9" s="1" a="1"/>
  <c r="N30" i="9" s="1"/>
  <c r="I31" i="9"/>
  <c r="M31" i="9" s="1" a="1"/>
  <c r="M31" i="9" s="1"/>
  <c r="N31" i="9" s="1" a="1"/>
  <c r="N31" i="9" s="1"/>
  <c r="I32" i="9"/>
  <c r="M32" i="9" s="1" a="1"/>
  <c r="M32" i="9" s="1"/>
  <c r="N32" i="9" s="1" a="1"/>
  <c r="N32" i="9" s="1"/>
  <c r="I33" i="9"/>
  <c r="M33" i="9" s="1" a="1"/>
  <c r="M33" i="9" s="1"/>
  <c r="N33" i="9" s="1" a="1"/>
  <c r="N33" i="9" s="1"/>
  <c r="I34" i="9"/>
  <c r="M34" i="9" s="1" a="1"/>
  <c r="M34" i="9" s="1"/>
  <c r="N34" i="9" s="1" a="1"/>
  <c r="N34" i="9" s="1"/>
  <c r="I35" i="9"/>
  <c r="M35" i="9" s="1" a="1"/>
  <c r="M35" i="9" s="1"/>
  <c r="N35" i="9" s="1" a="1"/>
  <c r="N35" i="9" s="1"/>
  <c r="I36" i="9"/>
  <c r="M36" i="9" s="1" a="1"/>
  <c r="M36" i="9" s="1"/>
  <c r="N36" i="9" s="1" a="1"/>
  <c r="N36" i="9" s="1"/>
  <c r="I37" i="9"/>
  <c r="M37" i="9" s="1" a="1"/>
  <c r="M37" i="9" s="1"/>
  <c r="N37" i="9" s="1" a="1"/>
  <c r="N37" i="9" s="1"/>
  <c r="I38" i="9"/>
  <c r="M38" i="9" s="1" a="1"/>
  <c r="M38" i="9" s="1"/>
  <c r="N38" i="9" s="1" a="1"/>
  <c r="N38" i="9" s="1"/>
  <c r="I39" i="9"/>
  <c r="M39" i="9" s="1" a="1"/>
  <c r="M39" i="9" s="1"/>
  <c r="N39" i="9" s="1" a="1"/>
  <c r="N39" i="9" s="1"/>
  <c r="I40" i="9"/>
  <c r="M40" i="9" s="1" a="1"/>
  <c r="M40" i="9" s="1"/>
  <c r="N40" i="9" s="1" a="1"/>
  <c r="N40" i="9" s="1"/>
  <c r="I41" i="9"/>
  <c r="M41" i="9" s="1" a="1"/>
  <c r="M41" i="9" s="1"/>
  <c r="N41" i="9" s="1" a="1"/>
  <c r="N41" i="9" s="1"/>
  <c r="I42" i="9"/>
  <c r="M42" i="9" s="1" a="1"/>
  <c r="M42" i="9" s="1"/>
  <c r="N42" i="9" s="1" a="1"/>
  <c r="N42" i="9" s="1"/>
  <c r="I43" i="9"/>
  <c r="M43" i="9" s="1" a="1"/>
  <c r="M43" i="9" s="1"/>
  <c r="N43" i="9" s="1" a="1"/>
  <c r="N43" i="9" s="1"/>
  <c r="I44" i="9"/>
  <c r="M44" i="9" s="1" a="1"/>
  <c r="M44" i="9" s="1"/>
  <c r="N44" i="9" s="1" a="1"/>
  <c r="N44" i="9" s="1"/>
  <c r="I45" i="9"/>
  <c r="M45" i="9" s="1" a="1"/>
  <c r="M45" i="9" s="1"/>
  <c r="N45" i="9" s="1" a="1"/>
  <c r="N45" i="9" s="1"/>
  <c r="I46" i="9"/>
  <c r="M46" i="9" s="1" a="1"/>
  <c r="M46" i="9" s="1"/>
  <c r="N46" i="9" s="1" a="1"/>
  <c r="N46" i="9" s="1"/>
  <c r="I47" i="9"/>
  <c r="M47" i="9" s="1" a="1"/>
  <c r="M47" i="9" s="1"/>
  <c r="N47" i="9" s="1" a="1"/>
  <c r="N47" i="9" s="1"/>
  <c r="I48" i="9"/>
  <c r="M48" i="9" s="1" a="1"/>
  <c r="M48" i="9" s="1"/>
  <c r="N48" i="9" s="1" a="1"/>
  <c r="N48" i="9" s="1"/>
  <c r="I49" i="9"/>
  <c r="M49" i="9" s="1" a="1"/>
  <c r="M49" i="9" s="1"/>
  <c r="N49" i="9" s="1" a="1"/>
  <c r="N49" i="9" s="1"/>
  <c r="I50" i="9"/>
  <c r="M50" i="9" s="1" a="1"/>
  <c r="M50" i="9" s="1"/>
  <c r="N50" i="9" s="1" a="1"/>
  <c r="N50" i="9" s="1"/>
  <c r="I51" i="9"/>
  <c r="M51" i="9" s="1" a="1"/>
  <c r="M51" i="9" s="1"/>
  <c r="N51" i="9" s="1" a="1"/>
  <c r="N51" i="9" s="1"/>
  <c r="I52" i="9"/>
  <c r="M52" i="9" s="1" a="1"/>
  <c r="M52" i="9" s="1"/>
  <c r="N52" i="9" s="1" a="1"/>
  <c r="N52" i="9" s="1"/>
  <c r="I53" i="9"/>
  <c r="M53" i="9" s="1" a="1"/>
  <c r="M53" i="9" s="1"/>
  <c r="N53" i="9" s="1" a="1"/>
  <c r="N53" i="9" s="1"/>
  <c r="I54" i="9"/>
  <c r="M54" i="9" s="1" a="1"/>
  <c r="M54" i="9" s="1"/>
  <c r="N54" i="9" s="1" a="1"/>
  <c r="N54" i="9" s="1"/>
  <c r="I55" i="9"/>
  <c r="M55" i="9" s="1" a="1"/>
  <c r="M55" i="9" s="1"/>
  <c r="N55" i="9" s="1" a="1"/>
  <c r="N55" i="9" s="1"/>
  <c r="I56" i="9"/>
  <c r="M56" i="9" s="1" a="1"/>
  <c r="M56" i="9" s="1"/>
  <c r="N56" i="9" s="1" a="1"/>
  <c r="N56" i="9" s="1"/>
  <c r="I57" i="9"/>
  <c r="M57" i="9" s="1" a="1"/>
  <c r="M57" i="9" s="1"/>
  <c r="N57" i="9" s="1" a="1"/>
  <c r="N57" i="9" s="1"/>
  <c r="I58" i="9"/>
  <c r="M58" i="9" s="1" a="1"/>
  <c r="M58" i="9" s="1"/>
  <c r="N58" i="9" s="1" a="1"/>
  <c r="N58" i="9" s="1"/>
  <c r="I59" i="9"/>
  <c r="M59" i="9" s="1" a="1"/>
  <c r="M59" i="9" s="1"/>
  <c r="N59" i="9" s="1" a="1"/>
  <c r="N59" i="9" s="1"/>
  <c r="I60" i="9"/>
  <c r="M60" i="9" s="1" a="1"/>
  <c r="M60" i="9" s="1"/>
  <c r="N60" i="9" s="1" a="1"/>
  <c r="N60" i="9" s="1"/>
  <c r="I61" i="9"/>
  <c r="M61" i="9" s="1" a="1"/>
  <c r="M61" i="9" s="1"/>
  <c r="N61" i="9" s="1" a="1"/>
  <c r="N61" i="9" s="1"/>
  <c r="I62" i="9"/>
  <c r="M62" i="9" s="1" a="1"/>
  <c r="M62" i="9" s="1"/>
  <c r="N62" i="9" s="1" a="1"/>
  <c r="N62" i="9" s="1"/>
  <c r="I63" i="9"/>
  <c r="M63" i="9" s="1" a="1"/>
  <c r="M63" i="9" s="1"/>
  <c r="N63" i="9" s="1" a="1"/>
  <c r="N63" i="9" s="1"/>
  <c r="I64" i="9"/>
  <c r="M64" i="9" s="1" a="1"/>
  <c r="M64" i="9" s="1"/>
  <c r="N64" i="9" s="1" a="1"/>
  <c r="N64" i="9" s="1"/>
  <c r="I65" i="9"/>
  <c r="M65" i="9" s="1" a="1"/>
  <c r="M65" i="9" s="1"/>
  <c r="N65" i="9" s="1" a="1"/>
  <c r="N65" i="9" s="1"/>
  <c r="I66" i="9"/>
  <c r="M66" i="9" s="1" a="1"/>
  <c r="M66" i="9" s="1"/>
  <c r="N66" i="9" s="1" a="1"/>
  <c r="N66" i="9" s="1"/>
  <c r="I67" i="9"/>
  <c r="M67" i="9" s="1" a="1"/>
  <c r="M67" i="9" s="1"/>
  <c r="N67" i="9" s="1" a="1"/>
  <c r="N67" i="9" s="1"/>
  <c r="I68" i="9"/>
  <c r="M68" i="9" s="1" a="1"/>
  <c r="M68" i="9" s="1"/>
  <c r="N68" i="9" s="1" a="1"/>
  <c r="N68" i="9" s="1"/>
  <c r="I69" i="9"/>
  <c r="M69" i="9" s="1" a="1"/>
  <c r="M69" i="9" s="1"/>
  <c r="N69" i="9" s="1" a="1"/>
  <c r="N69" i="9" s="1"/>
  <c r="I70" i="9"/>
  <c r="M70" i="9" s="1" a="1"/>
  <c r="M70" i="9" s="1"/>
  <c r="N70" i="9" s="1" a="1"/>
  <c r="N70" i="9" s="1"/>
  <c r="I71" i="9"/>
  <c r="M71" i="9" s="1" a="1"/>
  <c r="M71" i="9" s="1"/>
  <c r="N71" i="9" s="1" a="1"/>
  <c r="N71" i="9" s="1"/>
  <c r="I72" i="9"/>
  <c r="M72" i="9" s="1" a="1"/>
  <c r="M72" i="9" s="1"/>
  <c r="N72" i="9" s="1" a="1"/>
  <c r="N72" i="9" s="1"/>
  <c r="I73" i="9"/>
  <c r="M73" i="9" s="1" a="1"/>
  <c r="M73" i="9" s="1"/>
  <c r="N73" i="9" s="1" a="1"/>
  <c r="N73" i="9" s="1"/>
  <c r="I74" i="9"/>
  <c r="M74" i="9" s="1" a="1"/>
  <c r="M74" i="9" s="1"/>
  <c r="N74" i="9" s="1" a="1"/>
  <c r="N74" i="9" s="1"/>
  <c r="I75" i="9"/>
  <c r="M75" i="9" s="1" a="1"/>
  <c r="M75" i="9" s="1"/>
  <c r="N75" i="9" s="1" a="1"/>
  <c r="N75" i="9" s="1"/>
  <c r="I76" i="9"/>
  <c r="M76" i="9" s="1" a="1"/>
  <c r="M76" i="9" s="1"/>
  <c r="N76" i="9" s="1" a="1"/>
  <c r="N76" i="9" s="1"/>
  <c r="I77" i="9"/>
  <c r="M77" i="9" s="1" a="1"/>
  <c r="M77" i="9" s="1"/>
  <c r="N77" i="9" s="1" a="1"/>
  <c r="N77" i="9" s="1"/>
  <c r="I78" i="9"/>
  <c r="M78" i="9" s="1" a="1"/>
  <c r="M78" i="9" s="1"/>
  <c r="N78" i="9" s="1" a="1"/>
  <c r="N78" i="9" s="1"/>
  <c r="I79" i="9"/>
  <c r="M79" i="9" s="1" a="1"/>
  <c r="M79" i="9" s="1"/>
  <c r="N79" i="9" s="1" a="1"/>
  <c r="N79" i="9" s="1"/>
  <c r="I80" i="9"/>
  <c r="M80" i="9" s="1" a="1"/>
  <c r="M80" i="9" s="1"/>
  <c r="N80" i="9" s="1" a="1"/>
  <c r="N80" i="9" s="1"/>
  <c r="I81" i="9"/>
  <c r="M81" i="9" s="1" a="1"/>
  <c r="M81" i="9" s="1"/>
  <c r="N81" i="9" s="1" a="1"/>
  <c r="N81" i="9" s="1"/>
  <c r="I82" i="9"/>
  <c r="M82" i="9" s="1" a="1"/>
  <c r="M82" i="9" s="1"/>
  <c r="N82" i="9" s="1" a="1"/>
  <c r="N82" i="9" s="1"/>
  <c r="I83" i="9"/>
  <c r="M83" i="9" s="1" a="1"/>
  <c r="M83" i="9" s="1"/>
  <c r="N83" i="9" s="1" a="1"/>
  <c r="N83" i="9" s="1"/>
  <c r="I84" i="9"/>
  <c r="M84" i="9" s="1" a="1"/>
  <c r="M84" i="9" s="1"/>
  <c r="N84" i="9" s="1" a="1"/>
  <c r="N84" i="9" s="1"/>
  <c r="I85" i="9"/>
  <c r="M85" i="9" s="1" a="1"/>
  <c r="M85" i="9" s="1"/>
  <c r="N85" i="9" s="1" a="1"/>
  <c r="N85" i="9" s="1"/>
  <c r="I86" i="9"/>
  <c r="M86" i="9" s="1" a="1"/>
  <c r="M86" i="9" s="1"/>
  <c r="N86" i="9" s="1" a="1"/>
  <c r="N86" i="9" s="1"/>
  <c r="I87" i="9"/>
  <c r="M87" i="9" s="1" a="1"/>
  <c r="M87" i="9" s="1"/>
  <c r="N87" i="9" s="1" a="1"/>
  <c r="N87" i="9" s="1"/>
  <c r="I88" i="9"/>
  <c r="M88" i="9" s="1" a="1"/>
  <c r="M88" i="9" s="1"/>
  <c r="N88" i="9" s="1" a="1"/>
  <c r="N88" i="9" s="1"/>
  <c r="I89" i="9"/>
  <c r="M89" i="9" s="1" a="1"/>
  <c r="M89" i="9" s="1"/>
  <c r="N89" i="9" s="1" a="1"/>
  <c r="N89" i="9" s="1"/>
  <c r="I90" i="9"/>
  <c r="M90" i="9" s="1" a="1"/>
  <c r="M90" i="9" s="1"/>
  <c r="N90" i="9" s="1" a="1"/>
  <c r="N90" i="9" s="1"/>
  <c r="I91" i="9"/>
  <c r="M91" i="9" s="1" a="1"/>
  <c r="M91" i="9" s="1"/>
  <c r="N91" i="9" s="1" a="1"/>
  <c r="N91" i="9" s="1"/>
  <c r="I92" i="9"/>
  <c r="M92" i="9" s="1" a="1"/>
  <c r="M92" i="9" s="1"/>
  <c r="N92" i="9" s="1" a="1"/>
  <c r="N92" i="9" s="1"/>
  <c r="I93" i="9"/>
  <c r="M93" i="9" s="1" a="1"/>
  <c r="M93" i="9" s="1"/>
  <c r="N93" i="9" s="1" a="1"/>
  <c r="N93" i="9" s="1"/>
  <c r="I94" i="9"/>
  <c r="M94" i="9" s="1" a="1"/>
  <c r="M94" i="9" s="1"/>
  <c r="N94" i="9" s="1" a="1"/>
  <c r="N94" i="9" s="1"/>
  <c r="I95" i="9"/>
  <c r="M95" i="9" s="1" a="1"/>
  <c r="M95" i="9" s="1"/>
  <c r="N95" i="9" s="1" a="1"/>
  <c r="N95" i="9" s="1"/>
  <c r="I96" i="9"/>
  <c r="M96" i="9" s="1" a="1"/>
  <c r="M96" i="9" s="1"/>
  <c r="N96" i="9" s="1" a="1"/>
  <c r="N96" i="9" s="1"/>
  <c r="I97" i="9"/>
  <c r="M97" i="9" s="1" a="1"/>
  <c r="M97" i="9" s="1"/>
  <c r="N97" i="9" s="1" a="1"/>
  <c r="N97" i="9" s="1"/>
  <c r="I98" i="9"/>
  <c r="M98" i="9" s="1" a="1"/>
  <c r="M98" i="9" s="1"/>
  <c r="N98" i="9" s="1" a="1"/>
  <c r="N98" i="9" s="1"/>
  <c r="I99" i="9"/>
  <c r="M99" i="9" s="1" a="1"/>
  <c r="M99" i="9" s="1"/>
  <c r="N99" i="9" s="1" a="1"/>
  <c r="N99" i="9" s="1"/>
  <c r="I100" i="9"/>
  <c r="M100" i="9" s="1" a="1"/>
  <c r="M100" i="9" s="1"/>
  <c r="N100" i="9" s="1" a="1"/>
  <c r="N100" i="9" s="1"/>
  <c r="I101" i="9"/>
  <c r="M101" i="9" s="1" a="1"/>
  <c r="M101" i="9" s="1"/>
  <c r="N101" i="9" s="1" a="1"/>
  <c r="N101" i="9" s="1"/>
  <c r="I102" i="9"/>
  <c r="M102" i="9" s="1" a="1"/>
  <c r="M102" i="9" s="1"/>
  <c r="N102" i="9" s="1" a="1"/>
  <c r="N102" i="9" s="1"/>
  <c r="I103" i="9"/>
  <c r="M103" i="9" s="1" a="1"/>
  <c r="M103" i="9" s="1"/>
  <c r="N103" i="9" s="1" a="1"/>
  <c r="N103" i="9" s="1"/>
  <c r="I104" i="9"/>
  <c r="M104" i="9" s="1" a="1"/>
  <c r="M104" i="9" s="1"/>
  <c r="N104" i="9" s="1" a="1"/>
  <c r="N104" i="9" s="1"/>
  <c r="I105" i="9"/>
  <c r="M105" i="9" s="1" a="1"/>
  <c r="M105" i="9" s="1"/>
  <c r="N105" i="9" s="1" a="1"/>
  <c r="N105" i="9" s="1"/>
  <c r="I106" i="9"/>
  <c r="M106" i="9" s="1" a="1"/>
  <c r="M106" i="9" s="1"/>
  <c r="N106" i="9" s="1" a="1"/>
  <c r="N106" i="9" s="1"/>
  <c r="I107" i="9"/>
  <c r="M107" i="9" s="1" a="1"/>
  <c r="M107" i="9" s="1"/>
  <c r="N107" i="9" s="1" a="1"/>
  <c r="N107" i="9" s="1"/>
  <c r="I108" i="9"/>
  <c r="M108" i="9" s="1" a="1"/>
  <c r="M108" i="9" s="1"/>
  <c r="N108" i="9" s="1" a="1"/>
  <c r="N108" i="9" s="1"/>
  <c r="I109" i="9"/>
  <c r="M109" i="9" s="1" a="1"/>
  <c r="M109" i="9" s="1"/>
  <c r="N109" i="9" s="1" a="1"/>
  <c r="N109" i="9" s="1"/>
  <c r="I110" i="9"/>
  <c r="M110" i="9" s="1" a="1"/>
  <c r="M110" i="9" s="1"/>
  <c r="N110" i="9" s="1" a="1"/>
  <c r="N110" i="9" s="1"/>
  <c r="I111" i="9"/>
  <c r="M111" i="9" s="1" a="1"/>
  <c r="M111" i="9" s="1"/>
  <c r="N111" i="9" s="1" a="1"/>
  <c r="N111" i="9" s="1"/>
  <c r="I112" i="9"/>
  <c r="M112" i="9" s="1" a="1"/>
  <c r="M112" i="9" s="1"/>
  <c r="N112" i="9" s="1" a="1"/>
  <c r="N112" i="9" s="1"/>
  <c r="I113" i="9"/>
  <c r="M113" i="9" s="1" a="1"/>
  <c r="M113" i="9" s="1"/>
  <c r="N113" i="9" s="1" a="1"/>
  <c r="N113" i="9" s="1"/>
  <c r="I114" i="9"/>
  <c r="M114" i="9" s="1" a="1"/>
  <c r="M114" i="9" s="1"/>
  <c r="N114" i="9" s="1" a="1"/>
  <c r="N114" i="9" s="1"/>
  <c r="I115" i="9"/>
  <c r="M115" i="9" s="1" a="1"/>
  <c r="M115" i="9" s="1"/>
  <c r="N115" i="9" s="1" a="1"/>
  <c r="N115" i="9" s="1"/>
  <c r="I116" i="9"/>
  <c r="M116" i="9" s="1" a="1"/>
  <c r="M116" i="9" s="1"/>
  <c r="N116" i="9" s="1" a="1"/>
  <c r="N116" i="9" s="1"/>
  <c r="I117" i="9"/>
  <c r="M117" i="9" s="1" a="1"/>
  <c r="M117" i="9" s="1"/>
  <c r="N117" i="9" s="1" a="1"/>
  <c r="N117" i="9" s="1"/>
  <c r="I118" i="9"/>
  <c r="M118" i="9" s="1" a="1"/>
  <c r="M118" i="9" s="1"/>
  <c r="N118" i="9" s="1" a="1"/>
  <c r="N118" i="9" s="1"/>
  <c r="I119" i="9"/>
  <c r="M119" i="9" s="1" a="1"/>
  <c r="M119" i="9" s="1"/>
  <c r="N119" i="9" s="1" a="1"/>
  <c r="N119" i="9" s="1"/>
  <c r="I120" i="9"/>
  <c r="M120" i="9" s="1" a="1"/>
  <c r="M120" i="9" s="1"/>
  <c r="N120" i="9" s="1" a="1"/>
  <c r="N120" i="9" s="1"/>
  <c r="I121" i="9"/>
  <c r="M121" i="9" s="1" a="1"/>
  <c r="M121" i="9" s="1"/>
  <c r="N121" i="9" s="1" a="1"/>
  <c r="N121" i="9" s="1"/>
  <c r="I122" i="9"/>
  <c r="M122" i="9" s="1" a="1"/>
  <c r="M122" i="9" s="1"/>
  <c r="N122" i="9" s="1" a="1"/>
  <c r="N122" i="9" s="1"/>
  <c r="I123" i="9"/>
  <c r="M123" i="9" s="1" a="1"/>
  <c r="M123" i="9" s="1"/>
  <c r="N123" i="9" s="1" a="1"/>
  <c r="N123" i="9" s="1"/>
  <c r="I124" i="9"/>
  <c r="M124" i="9" s="1" a="1"/>
  <c r="M124" i="9" s="1"/>
  <c r="N124" i="9" s="1" a="1"/>
  <c r="N124" i="9" s="1"/>
  <c r="I125" i="9"/>
  <c r="M125" i="9" s="1" a="1"/>
  <c r="M125" i="9" s="1"/>
  <c r="N125" i="9" s="1" a="1"/>
  <c r="N125" i="9" s="1"/>
  <c r="I126" i="9"/>
  <c r="M126" i="9" s="1" a="1"/>
  <c r="M126" i="9" s="1"/>
  <c r="N126" i="9" s="1" a="1"/>
  <c r="N126" i="9" s="1"/>
  <c r="I127" i="9"/>
  <c r="M127" i="9" s="1" a="1"/>
  <c r="M127" i="9" s="1"/>
  <c r="N127" i="9" s="1" a="1"/>
  <c r="N127" i="9" s="1"/>
  <c r="I128" i="9"/>
  <c r="M128" i="9" s="1" a="1"/>
  <c r="M128" i="9" s="1"/>
  <c r="N128" i="9" s="1" a="1"/>
  <c r="N128" i="9" s="1"/>
  <c r="I129" i="9"/>
  <c r="M129" i="9" s="1" a="1"/>
  <c r="M129" i="9" s="1"/>
  <c r="N129" i="9" s="1" a="1"/>
  <c r="N129" i="9" s="1"/>
  <c r="I130" i="9"/>
  <c r="M130" i="9" s="1" a="1"/>
  <c r="M130" i="9" s="1"/>
  <c r="N130" i="9" s="1" a="1"/>
  <c r="N130" i="9" s="1"/>
  <c r="I131" i="9"/>
  <c r="M131" i="9" s="1" a="1"/>
  <c r="M131" i="9" s="1"/>
  <c r="N131" i="9" s="1" a="1"/>
  <c r="N131" i="9" s="1"/>
  <c r="I132" i="9"/>
  <c r="M132" i="9" s="1" a="1"/>
  <c r="M132" i="9" s="1"/>
  <c r="N132" i="9" s="1" a="1"/>
  <c r="N132" i="9" s="1"/>
  <c r="I133" i="9"/>
  <c r="M133" i="9" s="1" a="1"/>
  <c r="M133" i="9" s="1"/>
  <c r="N133" i="9" s="1" a="1"/>
  <c r="N133" i="9" s="1"/>
  <c r="I134" i="9"/>
  <c r="M134" i="9" s="1" a="1"/>
  <c r="M134" i="9" s="1"/>
  <c r="N134" i="9" s="1" a="1"/>
  <c r="N134" i="9" s="1"/>
  <c r="I135" i="9"/>
  <c r="M135" i="9" s="1" a="1"/>
  <c r="M135" i="9" s="1"/>
  <c r="N135" i="9" s="1" a="1"/>
  <c r="N135" i="9" s="1"/>
  <c r="I136" i="9"/>
  <c r="M136" i="9" s="1" a="1"/>
  <c r="M136" i="9" s="1"/>
  <c r="N136" i="9" s="1" a="1"/>
  <c r="N136" i="9" s="1"/>
  <c r="I137" i="9"/>
  <c r="M137" i="9" s="1" a="1"/>
  <c r="M137" i="9" s="1"/>
  <c r="N137" i="9" s="1" a="1"/>
  <c r="N137" i="9" s="1"/>
  <c r="I138" i="9"/>
  <c r="M138" i="9" s="1" a="1"/>
  <c r="M138" i="9" s="1"/>
  <c r="N138" i="9" s="1" a="1"/>
  <c r="N138" i="9" s="1"/>
  <c r="I139" i="9"/>
  <c r="M139" i="9" s="1" a="1"/>
  <c r="M139" i="9" s="1"/>
  <c r="N139" i="9" s="1" a="1"/>
  <c r="N139" i="9" s="1"/>
  <c r="I140" i="9"/>
  <c r="M140" i="9" s="1" a="1"/>
  <c r="M140" i="9" s="1"/>
  <c r="N140" i="9" s="1" a="1"/>
  <c r="N140" i="9" s="1"/>
  <c r="I141" i="9"/>
  <c r="M141" i="9" s="1" a="1"/>
  <c r="M141" i="9" s="1"/>
  <c r="N141" i="9" s="1" a="1"/>
  <c r="N141" i="9" s="1"/>
  <c r="I142" i="9"/>
  <c r="M142" i="9" s="1" a="1"/>
  <c r="M142" i="9" s="1"/>
  <c r="N142" i="9" s="1" a="1"/>
  <c r="N142" i="9" s="1"/>
  <c r="I143" i="9"/>
  <c r="M143" i="9" s="1" a="1"/>
  <c r="M143" i="9" s="1"/>
  <c r="N143" i="9" s="1" a="1"/>
  <c r="N143" i="9" s="1"/>
  <c r="I144" i="9"/>
  <c r="M144" i="9" s="1" a="1"/>
  <c r="M144" i="9" s="1"/>
  <c r="N144" i="9" s="1" a="1"/>
  <c r="N144" i="9" s="1"/>
  <c r="I145" i="9"/>
  <c r="M145" i="9" s="1" a="1"/>
  <c r="M145" i="9" s="1"/>
  <c r="N145" i="9" s="1" a="1"/>
  <c r="N145" i="9" s="1"/>
  <c r="I146" i="9"/>
  <c r="M146" i="9" s="1" a="1"/>
  <c r="M146" i="9" s="1"/>
  <c r="N146" i="9" s="1" a="1"/>
  <c r="N146" i="9" s="1"/>
  <c r="I147" i="9"/>
  <c r="M147" i="9" s="1" a="1"/>
  <c r="M147" i="9" s="1"/>
  <c r="N147" i="9" s="1" a="1"/>
  <c r="N147" i="9" s="1"/>
  <c r="I148" i="9"/>
  <c r="M148" i="9" s="1" a="1"/>
  <c r="M148" i="9" s="1"/>
  <c r="N148" i="9" s="1" a="1"/>
  <c r="N148" i="9" s="1"/>
  <c r="I149" i="9"/>
  <c r="M149" i="9" s="1" a="1"/>
  <c r="M149" i="9" s="1"/>
  <c r="N149" i="9" s="1" a="1"/>
  <c r="N149" i="9" s="1"/>
  <c r="I150" i="9"/>
  <c r="M150" i="9" s="1" a="1"/>
  <c r="M150" i="9" s="1"/>
  <c r="N150" i="9" s="1" a="1"/>
  <c r="N150" i="9" s="1"/>
  <c r="I151" i="9"/>
  <c r="M151" i="9" s="1" a="1"/>
  <c r="M151" i="9" s="1"/>
  <c r="N151" i="9" s="1" a="1"/>
  <c r="N151" i="9" s="1"/>
  <c r="I152" i="9"/>
  <c r="M152" i="9" s="1" a="1"/>
  <c r="M152" i="9" s="1"/>
  <c r="N152" i="9" s="1" a="1"/>
  <c r="N152" i="9" s="1"/>
  <c r="I153" i="9"/>
  <c r="M153" i="9" s="1" a="1"/>
  <c r="M153" i="9" s="1"/>
  <c r="N153" i="9" s="1" a="1"/>
  <c r="N153" i="9" s="1"/>
  <c r="I154" i="9"/>
  <c r="M154" i="9" s="1" a="1"/>
  <c r="M154" i="9" s="1"/>
  <c r="N154" i="9" s="1" a="1"/>
  <c r="N154" i="9" s="1"/>
  <c r="I155" i="9"/>
  <c r="M155" i="9" s="1" a="1"/>
  <c r="M155" i="9" s="1"/>
  <c r="N155" i="9" s="1" a="1"/>
  <c r="N155" i="9" s="1"/>
  <c r="I156" i="9"/>
  <c r="M156" i="9" s="1" a="1"/>
  <c r="M156" i="9" s="1"/>
  <c r="N156" i="9" s="1" a="1"/>
  <c r="N156" i="9" s="1"/>
  <c r="I157" i="9"/>
  <c r="M157" i="9" s="1" a="1"/>
  <c r="M157" i="9" s="1"/>
  <c r="N157" i="9" s="1" a="1"/>
  <c r="N157" i="9" s="1"/>
  <c r="I158" i="9"/>
  <c r="M158" i="9" s="1" a="1"/>
  <c r="M158" i="9" s="1"/>
  <c r="N158" i="9" s="1" a="1"/>
  <c r="N158" i="9" s="1"/>
  <c r="I159" i="9"/>
  <c r="M159" i="9" s="1" a="1"/>
  <c r="M159" i="9" s="1"/>
  <c r="N159" i="9" s="1" a="1"/>
  <c r="N159" i="9" s="1"/>
  <c r="I160" i="9"/>
  <c r="M160" i="9" s="1" a="1"/>
  <c r="M160" i="9" s="1"/>
  <c r="N160" i="9" s="1" a="1"/>
  <c r="N160" i="9" s="1"/>
  <c r="I161" i="9"/>
  <c r="M161" i="9" s="1" a="1"/>
  <c r="M161" i="9" s="1"/>
  <c r="N161" i="9" s="1" a="1"/>
  <c r="N161" i="9" s="1"/>
  <c r="I162" i="9"/>
  <c r="M162" i="9" s="1" a="1"/>
  <c r="M162" i="9" s="1"/>
  <c r="N162" i="9" s="1" a="1"/>
  <c r="N162" i="9" s="1"/>
  <c r="I163" i="9"/>
  <c r="M163" i="9" s="1" a="1"/>
  <c r="M163" i="9" s="1"/>
  <c r="N163" i="9" s="1" a="1"/>
  <c r="N163" i="9" s="1"/>
  <c r="I164" i="9"/>
  <c r="M164" i="9" s="1" a="1"/>
  <c r="M164" i="9" s="1"/>
  <c r="N164" i="9" s="1" a="1"/>
  <c r="N164" i="9" s="1"/>
  <c r="I165" i="9"/>
  <c r="M165" i="9" s="1" a="1"/>
  <c r="M165" i="9" s="1"/>
  <c r="N165" i="9" s="1" a="1"/>
  <c r="N165" i="9" s="1"/>
  <c r="I166" i="9"/>
  <c r="M166" i="9" s="1" a="1"/>
  <c r="M166" i="9" s="1"/>
  <c r="N166" i="9" s="1" a="1"/>
  <c r="N166" i="9" s="1"/>
  <c r="I167" i="9"/>
  <c r="M167" i="9" s="1" a="1"/>
  <c r="M167" i="9" s="1"/>
  <c r="N167" i="9" s="1" a="1"/>
  <c r="N167" i="9" s="1"/>
  <c r="I168" i="9"/>
  <c r="M168" i="9" s="1" a="1"/>
  <c r="M168" i="9" s="1"/>
  <c r="N168" i="9" s="1" a="1"/>
  <c r="N168" i="9" s="1"/>
  <c r="I169" i="9"/>
  <c r="M169" i="9" s="1" a="1"/>
  <c r="M169" i="9" s="1"/>
  <c r="N169" i="9" s="1" a="1"/>
  <c r="N169" i="9" s="1"/>
  <c r="I170" i="9"/>
  <c r="M170" i="9" s="1" a="1"/>
  <c r="M170" i="9" s="1"/>
  <c r="N170" i="9" s="1" a="1"/>
  <c r="N170" i="9" s="1"/>
  <c r="I171" i="9"/>
  <c r="M171" i="9" s="1" a="1"/>
  <c r="M171" i="9" s="1"/>
  <c r="N171" i="9" s="1" a="1"/>
  <c r="N171" i="9" s="1"/>
  <c r="I172" i="9"/>
  <c r="M172" i="9" s="1" a="1"/>
  <c r="M172" i="9" s="1"/>
  <c r="N172" i="9" s="1" a="1"/>
  <c r="N172" i="9" s="1"/>
  <c r="I173" i="9"/>
  <c r="M173" i="9" s="1" a="1"/>
  <c r="M173" i="9" s="1"/>
  <c r="N173" i="9" s="1" a="1"/>
  <c r="N173" i="9" s="1"/>
  <c r="I174" i="9"/>
  <c r="M174" i="9" s="1" a="1"/>
  <c r="M174" i="9" s="1"/>
  <c r="N174" i="9" s="1" a="1"/>
  <c r="N174" i="9" s="1"/>
  <c r="I175" i="9"/>
  <c r="M175" i="9" s="1" a="1"/>
  <c r="M175" i="9" s="1"/>
  <c r="N175" i="9" s="1" a="1"/>
  <c r="N175" i="9" s="1"/>
  <c r="I176" i="9"/>
  <c r="M176" i="9" s="1" a="1"/>
  <c r="M176" i="9" s="1"/>
  <c r="N176" i="9" s="1" a="1"/>
  <c r="N176" i="9" s="1"/>
  <c r="I177" i="9"/>
  <c r="M177" i="9" s="1" a="1"/>
  <c r="M177" i="9" s="1"/>
  <c r="N177" i="9" s="1" a="1"/>
  <c r="N177" i="9" s="1"/>
  <c r="I178" i="9"/>
  <c r="M178" i="9" s="1" a="1"/>
  <c r="M178" i="9" s="1"/>
  <c r="N178" i="9" s="1" a="1"/>
  <c r="N178" i="9" s="1"/>
  <c r="I179" i="9"/>
  <c r="M179" i="9" s="1" a="1"/>
  <c r="M179" i="9" s="1"/>
  <c r="N179" i="9" s="1" a="1"/>
  <c r="N179" i="9" s="1"/>
  <c r="I180" i="9"/>
  <c r="M180" i="9" s="1" a="1"/>
  <c r="M180" i="9" s="1"/>
  <c r="N180" i="9" s="1" a="1"/>
  <c r="N180" i="9" s="1"/>
  <c r="I181" i="9"/>
  <c r="M181" i="9" s="1" a="1"/>
  <c r="M181" i="9" s="1"/>
  <c r="N181" i="9" s="1" a="1"/>
  <c r="N181" i="9" s="1"/>
  <c r="I182" i="9"/>
  <c r="M182" i="9" s="1" a="1"/>
  <c r="M182" i="9" s="1"/>
  <c r="N182" i="9" s="1" a="1"/>
  <c r="N182" i="9" s="1"/>
  <c r="I183" i="9"/>
  <c r="M183" i="9" s="1" a="1"/>
  <c r="M183" i="9" s="1"/>
  <c r="N183" i="9" s="1" a="1"/>
  <c r="N183" i="9" s="1"/>
  <c r="I184" i="9"/>
  <c r="M184" i="9" s="1" a="1"/>
  <c r="M184" i="9" s="1"/>
  <c r="N184" i="9" s="1" a="1"/>
  <c r="N184" i="9" s="1"/>
  <c r="I185" i="9"/>
  <c r="M185" i="9" s="1" a="1"/>
  <c r="M185" i="9" s="1"/>
  <c r="N185" i="9" s="1" a="1"/>
  <c r="N185" i="9" s="1"/>
  <c r="I186" i="9"/>
  <c r="M186" i="9" s="1" a="1"/>
  <c r="M186" i="9" s="1"/>
  <c r="N186" i="9" s="1" a="1"/>
  <c r="N186" i="9" s="1"/>
  <c r="I187" i="9"/>
  <c r="M187" i="9" s="1" a="1"/>
  <c r="M187" i="9" s="1"/>
  <c r="N187" i="9" s="1" a="1"/>
  <c r="N187" i="9" s="1"/>
  <c r="I188" i="9"/>
  <c r="M188" i="9" s="1" a="1"/>
  <c r="M188" i="9" s="1"/>
  <c r="N188" i="9" s="1" a="1"/>
  <c r="N188" i="9" s="1"/>
  <c r="I2" i="9"/>
  <c r="M2" i="9" s="1" a="1"/>
  <c r="M2" i="9" s="1"/>
  <c r="N2" i="9" s="1" a="1"/>
  <c r="N2" i="9" s="1"/>
  <c r="I177" i="10"/>
  <c r="I176" i="10"/>
  <c r="I175" i="10"/>
  <c r="I174" i="10"/>
  <c r="I173" i="10"/>
  <c r="H137" i="10"/>
  <c r="H138" i="10"/>
  <c r="H136" i="10"/>
  <c r="G138" i="10"/>
  <c r="G137" i="10"/>
  <c r="G136" i="10"/>
  <c r="F137" i="10"/>
  <c r="F138" i="10"/>
  <c r="F136" i="10"/>
  <c r="E137" i="10"/>
  <c r="E138" i="10"/>
  <c r="E136" i="10"/>
  <c r="D137" i="10"/>
  <c r="D138" i="10"/>
  <c r="D136" i="10"/>
  <c r="G123" i="10"/>
  <c r="G121" i="10"/>
  <c r="F121" i="10"/>
  <c r="D123" i="10"/>
  <c r="E123" i="10" s="1"/>
  <c r="D121" i="10"/>
  <c r="E121" i="10" s="1"/>
  <c r="C122" i="10"/>
  <c r="D122" i="10" s="1"/>
  <c r="E122" i="10" s="1"/>
  <c r="C123" i="10"/>
  <c r="C121" i="10"/>
  <c r="M105" i="10"/>
  <c r="M106" i="10"/>
  <c r="M107" i="10"/>
  <c r="M108" i="10"/>
  <c r="M104" i="10"/>
  <c r="K104" i="10" a="1"/>
  <c r="K104" i="10" s="1"/>
  <c r="L105" i="10"/>
  <c r="L106" i="10"/>
  <c r="L108" i="10"/>
  <c r="K105" i="10" a="1"/>
  <c r="K105" i="10" s="1"/>
  <c r="K106" i="10" a="1"/>
  <c r="K106" i="10" s="1"/>
  <c r="K107" i="10" a="1"/>
  <c r="K107" i="10" s="1"/>
  <c r="K108" i="10" a="1"/>
  <c r="K108" i="10" s="1"/>
  <c r="J105" i="10"/>
  <c r="J104" i="10"/>
  <c r="I108" i="10"/>
  <c r="J108" i="10" s="1"/>
  <c r="I107" i="10"/>
  <c r="L107" i="10" s="1"/>
  <c r="I106" i="10"/>
  <c r="J106" i="10" s="1"/>
  <c r="I105" i="10"/>
  <c r="I104" i="10"/>
  <c r="L104" i="10" s="1"/>
  <c r="K91" i="10"/>
  <c r="L91" i="10" s="1"/>
  <c r="K92" i="10"/>
  <c r="L92" i="10" s="1"/>
  <c r="F93" i="10"/>
  <c r="C93" i="10"/>
  <c r="I92" i="10"/>
  <c r="J92" i="10" s="1"/>
  <c r="I91" i="10"/>
  <c r="J91" i="10" s="1"/>
  <c r="I90" i="10"/>
  <c r="K90" i="10" s="1"/>
  <c r="L90" i="10" s="1"/>
  <c r="I89" i="10"/>
  <c r="K89" i="10" s="1"/>
  <c r="L89" i="10" s="1"/>
  <c r="I88" i="10"/>
  <c r="K88" i="10" s="1"/>
  <c r="L88" i="10" s="1"/>
  <c r="I75" i="10"/>
  <c r="I71" i="10"/>
  <c r="I73" i="10"/>
  <c r="I74" i="10"/>
  <c r="I72" i="10"/>
  <c r="I60" i="10"/>
  <c r="I59" i="10"/>
  <c r="I58" i="10"/>
  <c r="I57" i="10"/>
  <c r="I56" i="10"/>
  <c r="K40" i="10"/>
  <c r="K41" i="10"/>
  <c r="K42" i="10"/>
  <c r="K43" i="10"/>
  <c r="K39" i="10"/>
  <c r="J39" i="10"/>
  <c r="I43" i="10"/>
  <c r="J43" i="10" s="1"/>
  <c r="I42" i="10"/>
  <c r="J42" i="10" s="1"/>
  <c r="I41" i="10"/>
  <c r="J41" i="10" s="1"/>
  <c r="I40" i="10"/>
  <c r="J40" i="10" s="1"/>
  <c r="I39" i="10"/>
  <c r="E28" i="10"/>
  <c r="I23" i="10"/>
  <c r="I27" i="10"/>
  <c r="I25" i="10"/>
  <c r="I26" i="10"/>
  <c r="I24" i="10"/>
  <c r="I4" i="10"/>
  <c r="I5" i="10"/>
  <c r="I6" i="10"/>
  <c r="I7" i="10"/>
  <c r="I3" i="10"/>
  <c r="L188" i="9" l="1" a="1"/>
  <c r="L188" i="9" s="1"/>
  <c r="L181" i="9" a="1"/>
  <c r="L181" i="9" s="1"/>
  <c r="L174" i="9" a="1"/>
  <c r="L174" i="9" s="1"/>
  <c r="L167" i="9" a="1"/>
  <c r="L167" i="9" s="1"/>
  <c r="L159" i="9" a="1"/>
  <c r="L159" i="9" s="1"/>
  <c r="L152" i="9" a="1"/>
  <c r="L152" i="9" s="1"/>
  <c r="L145" i="9" a="1"/>
  <c r="L145" i="9" s="1"/>
  <c r="L138" i="9" a="1"/>
  <c r="L138" i="9" s="1"/>
  <c r="L131" i="9" a="1"/>
  <c r="L131" i="9" s="1"/>
  <c r="L123" i="9" a="1"/>
  <c r="L123" i="9" s="1"/>
  <c r="L116" i="9" a="1"/>
  <c r="L116" i="9" s="1"/>
  <c r="L109" i="9" a="1"/>
  <c r="L109" i="9" s="1"/>
  <c r="L102" i="9" a="1"/>
  <c r="L102" i="9" s="1"/>
  <c r="L95" i="9" a="1"/>
  <c r="L95" i="9" s="1"/>
  <c r="L87" i="9" a="1"/>
  <c r="L87" i="9" s="1"/>
  <c r="L80" i="9" a="1"/>
  <c r="L80" i="9" s="1"/>
  <c r="L73" i="9" a="1"/>
  <c r="L73" i="9" s="1"/>
  <c r="L66" i="9" a="1"/>
  <c r="L66" i="9" s="1"/>
  <c r="L59" i="9" a="1"/>
  <c r="L59" i="9" s="1"/>
  <c r="L51" i="9" a="1"/>
  <c r="L51" i="9" s="1"/>
  <c r="L44" i="9" a="1"/>
  <c r="L44" i="9" s="1"/>
  <c r="L37" i="9" a="1"/>
  <c r="L37" i="9" s="1"/>
  <c r="L30" i="9" a="1"/>
  <c r="L30" i="9" s="1"/>
  <c r="L23" i="9" a="1"/>
  <c r="L23" i="9" s="1"/>
  <c r="L15" i="9" a="1"/>
  <c r="L15" i="9" s="1"/>
  <c r="L8" i="9" a="1"/>
  <c r="L8" i="9" s="1"/>
  <c r="L132" i="9" a="1"/>
  <c r="L132" i="9" s="1"/>
  <c r="L187" i="9" a="1"/>
  <c r="L187" i="9" s="1"/>
  <c r="L180" i="9" a="1"/>
  <c r="L180" i="9" s="1"/>
  <c r="L173" i="9" a="1"/>
  <c r="L173" i="9" s="1"/>
  <c r="L165" i="9" a="1"/>
  <c r="L165" i="9" s="1"/>
  <c r="L158" i="9" a="1"/>
  <c r="L158" i="9" s="1"/>
  <c r="L151" i="9" a="1"/>
  <c r="L151" i="9" s="1"/>
  <c r="L144" i="9" a="1"/>
  <c r="L144" i="9" s="1"/>
  <c r="L137" i="9" a="1"/>
  <c r="L137" i="9" s="1"/>
  <c r="L129" i="9" a="1"/>
  <c r="L129" i="9" s="1"/>
  <c r="L122" i="9" a="1"/>
  <c r="L122" i="9" s="1"/>
  <c r="L115" i="9" a="1"/>
  <c r="L115" i="9" s="1"/>
  <c r="L108" i="9" a="1"/>
  <c r="L108" i="9" s="1"/>
  <c r="L101" i="9" a="1"/>
  <c r="L101" i="9" s="1"/>
  <c r="L93" i="9" a="1"/>
  <c r="L93" i="9" s="1"/>
  <c r="L86" i="9" a="1"/>
  <c r="L86" i="9" s="1"/>
  <c r="L79" i="9" a="1"/>
  <c r="L79" i="9" s="1"/>
  <c r="L72" i="9" a="1"/>
  <c r="L72" i="9" s="1"/>
  <c r="L65" i="9" a="1"/>
  <c r="L65" i="9" s="1"/>
  <c r="L57" i="9" a="1"/>
  <c r="L57" i="9" s="1"/>
  <c r="L50" i="9" a="1"/>
  <c r="L50" i="9" s="1"/>
  <c r="L43" i="9" a="1"/>
  <c r="L43" i="9" s="1"/>
  <c r="L36" i="9" a="1"/>
  <c r="L36" i="9" s="1"/>
  <c r="L29" i="9" a="1"/>
  <c r="L29" i="9" s="1"/>
  <c r="L21" i="9" a="1"/>
  <c r="L21" i="9" s="1"/>
  <c r="L14" i="9" a="1"/>
  <c r="L14" i="9" s="1"/>
  <c r="L7" i="9" a="1"/>
  <c r="L7" i="9" s="1"/>
  <c r="L172" i="9" a="1"/>
  <c r="L172" i="9" s="1"/>
  <c r="L136" i="9" a="1"/>
  <c r="L136" i="9" s="1"/>
  <c r="L100" i="9" a="1"/>
  <c r="L100" i="9" s="1"/>
  <c r="L64" i="9" a="1"/>
  <c r="L64" i="9" s="1"/>
  <c r="L28" i="9" a="1"/>
  <c r="L28" i="9" s="1"/>
  <c r="L186" i="9" a="1"/>
  <c r="L186" i="9" s="1"/>
  <c r="L179" i="9" a="1"/>
  <c r="L179" i="9" s="1"/>
  <c r="L171" i="9" a="1"/>
  <c r="L171" i="9" s="1"/>
  <c r="L164" i="9" a="1"/>
  <c r="L164" i="9" s="1"/>
  <c r="L157" i="9" a="1"/>
  <c r="L157" i="9" s="1"/>
  <c r="L150" i="9" a="1"/>
  <c r="L150" i="9" s="1"/>
  <c r="L143" i="9" a="1"/>
  <c r="L143" i="9" s="1"/>
  <c r="L135" i="9" a="1"/>
  <c r="L135" i="9" s="1"/>
  <c r="L128" i="9" a="1"/>
  <c r="L128" i="9" s="1"/>
  <c r="L121" i="9" a="1"/>
  <c r="L121" i="9" s="1"/>
  <c r="L114" i="9" a="1"/>
  <c r="L114" i="9" s="1"/>
  <c r="L107" i="9" a="1"/>
  <c r="L107" i="9" s="1"/>
  <c r="L99" i="9" a="1"/>
  <c r="L99" i="9" s="1"/>
  <c r="L92" i="9" a="1"/>
  <c r="L92" i="9" s="1"/>
  <c r="L85" i="9" a="1"/>
  <c r="L85" i="9" s="1"/>
  <c r="L78" i="9" a="1"/>
  <c r="L78" i="9" s="1"/>
  <c r="L71" i="9" a="1"/>
  <c r="L71" i="9" s="1"/>
  <c r="L63" i="9" a="1"/>
  <c r="L63" i="9" s="1"/>
  <c r="L56" i="9" a="1"/>
  <c r="L56" i="9" s="1"/>
  <c r="L49" i="9" a="1"/>
  <c r="L49" i="9" s="1"/>
  <c r="L42" i="9" a="1"/>
  <c r="L42" i="9" s="1"/>
  <c r="L35" i="9" a="1"/>
  <c r="L35" i="9" s="1"/>
  <c r="L27" i="9" a="1"/>
  <c r="L27" i="9" s="1"/>
  <c r="L20" i="9" a="1"/>
  <c r="L20" i="9" s="1"/>
  <c r="L13" i="9" a="1"/>
  <c r="L13" i="9" s="1"/>
  <c r="L6" i="9" a="1"/>
  <c r="L6" i="9" s="1"/>
  <c r="L178" i="9" a="1"/>
  <c r="L178" i="9" s="1"/>
  <c r="L142" i="9" a="1"/>
  <c r="L142" i="9" s="1"/>
  <c r="L106" i="9" a="1"/>
  <c r="L106" i="9" s="1"/>
  <c r="L70" i="9" a="1"/>
  <c r="L70" i="9" s="1"/>
  <c r="L34" i="9" a="1"/>
  <c r="L34" i="9" s="1"/>
  <c r="L96" i="9" a="1"/>
  <c r="L96" i="9" s="1"/>
  <c r="L60" i="9" a="1"/>
  <c r="L60" i="9" s="1"/>
  <c r="L24" i="9" a="1"/>
  <c r="L24" i="9" s="1"/>
  <c r="L185" i="9" a="1"/>
  <c r="L185" i="9" s="1"/>
  <c r="L177" i="9" a="1"/>
  <c r="L177" i="9" s="1"/>
  <c r="L170" i="9" a="1"/>
  <c r="L170" i="9" s="1"/>
  <c r="L163" i="9" a="1"/>
  <c r="L163" i="9" s="1"/>
  <c r="L156" i="9" a="1"/>
  <c r="L156" i="9" s="1"/>
  <c r="L149" i="9" a="1"/>
  <c r="L149" i="9" s="1"/>
  <c r="L141" i="9" a="1"/>
  <c r="L141" i="9" s="1"/>
  <c r="L134" i="9" a="1"/>
  <c r="L134" i="9" s="1"/>
  <c r="L127" i="9" a="1"/>
  <c r="L127" i="9" s="1"/>
  <c r="L120" i="9" a="1"/>
  <c r="L120" i="9" s="1"/>
  <c r="L113" i="9" a="1"/>
  <c r="L113" i="9" s="1"/>
  <c r="L105" i="9" a="1"/>
  <c r="L105" i="9" s="1"/>
  <c r="L98" i="9" a="1"/>
  <c r="L98" i="9" s="1"/>
  <c r="L91" i="9" a="1"/>
  <c r="L91" i="9" s="1"/>
  <c r="L84" i="9" a="1"/>
  <c r="L84" i="9" s="1"/>
  <c r="L77" i="9" a="1"/>
  <c r="L77" i="9" s="1"/>
  <c r="L69" i="9" a="1"/>
  <c r="L69" i="9" s="1"/>
  <c r="L62" i="9" a="1"/>
  <c r="L62" i="9" s="1"/>
  <c r="L55" i="9" a="1"/>
  <c r="L55" i="9" s="1"/>
  <c r="L48" i="9" a="1"/>
  <c r="L48" i="9" s="1"/>
  <c r="L41" i="9" a="1"/>
  <c r="L41" i="9" s="1"/>
  <c r="L33" i="9" a="1"/>
  <c r="L33" i="9" s="1"/>
  <c r="L26" i="9" a="1"/>
  <c r="L26" i="9" s="1"/>
  <c r="L19" i="9" a="1"/>
  <c r="L19" i="9" s="1"/>
  <c r="L12" i="9" a="1"/>
  <c r="L12" i="9" s="1"/>
  <c r="L5" i="9" a="1"/>
  <c r="L5" i="9" s="1"/>
  <c r="L168" i="9" a="1"/>
  <c r="L168" i="9" s="1"/>
  <c r="L184" i="9" a="1"/>
  <c r="L184" i="9" s="1"/>
  <c r="L148" i="9" a="1"/>
  <c r="L148" i="9" s="1"/>
  <c r="L112" i="9" a="1"/>
  <c r="L112" i="9" s="1"/>
  <c r="L76" i="9" a="1"/>
  <c r="L76" i="9" s="1"/>
  <c r="L40" i="9" a="1"/>
  <c r="L40" i="9" s="1"/>
  <c r="L4" i="9" a="1"/>
  <c r="L4" i="9" s="1"/>
  <c r="L183" i="9" a="1"/>
  <c r="L183" i="9" s="1"/>
  <c r="L176" i="9" a="1"/>
  <c r="L176" i="9" s="1"/>
  <c r="L169" i="9" a="1"/>
  <c r="L169" i="9" s="1"/>
  <c r="L162" i="9" a="1"/>
  <c r="L162" i="9" s="1"/>
  <c r="L155" i="9" a="1"/>
  <c r="L155" i="9" s="1"/>
  <c r="L147" i="9" a="1"/>
  <c r="L147" i="9" s="1"/>
  <c r="L140" i="9" a="1"/>
  <c r="L140" i="9" s="1"/>
  <c r="L133" i="9" a="1"/>
  <c r="L133" i="9" s="1"/>
  <c r="L126" i="9" a="1"/>
  <c r="L126" i="9" s="1"/>
  <c r="L119" i="9" a="1"/>
  <c r="L119" i="9" s="1"/>
  <c r="L111" i="9" a="1"/>
  <c r="L111" i="9" s="1"/>
  <c r="L104" i="9" a="1"/>
  <c r="L104" i="9" s="1"/>
  <c r="L97" i="9" a="1"/>
  <c r="L97" i="9" s="1"/>
  <c r="L90" i="9" a="1"/>
  <c r="L90" i="9" s="1"/>
  <c r="L83" i="9" a="1"/>
  <c r="L83" i="9" s="1"/>
  <c r="L75" i="9" a="1"/>
  <c r="L75" i="9" s="1"/>
  <c r="L68" i="9" a="1"/>
  <c r="L68" i="9" s="1"/>
  <c r="L61" i="9" a="1"/>
  <c r="L61" i="9" s="1"/>
  <c r="L54" i="9" a="1"/>
  <c r="L54" i="9" s="1"/>
  <c r="L47" i="9" a="1"/>
  <c r="L47" i="9" s="1"/>
  <c r="L39" i="9" a="1"/>
  <c r="L39" i="9" s="1"/>
  <c r="L32" i="9" a="1"/>
  <c r="L32" i="9" s="1"/>
  <c r="L25" i="9" a="1"/>
  <c r="L25" i="9" s="1"/>
  <c r="L18" i="9" a="1"/>
  <c r="L18" i="9" s="1"/>
  <c r="L11" i="9" a="1"/>
  <c r="L11" i="9" s="1"/>
  <c r="L3" i="9" a="1"/>
  <c r="L3" i="9" s="1"/>
  <c r="G122" i="10"/>
  <c r="J90" i="10"/>
  <c r="J107" i="10"/>
  <c r="J88" i="10"/>
  <c r="J89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<sst xmlns="http://schemas.openxmlformats.org/spreadsheetml/2006/main" count="1211" uniqueCount="362">
  <si>
    <t>Row Labels</t>
  </si>
  <si>
    <t>Sum of Confirmed</t>
  </si>
  <si>
    <t>Sum of Recovered</t>
  </si>
  <si>
    <t>Brazil</t>
  </si>
  <si>
    <t>Chile</t>
  </si>
  <si>
    <t>India</t>
  </si>
  <si>
    <t>Iran</t>
  </si>
  <si>
    <t>Mexico</t>
  </si>
  <si>
    <t>Peru</t>
  </si>
  <si>
    <t>Russia</t>
  </si>
  <si>
    <t>South Africa</t>
  </si>
  <si>
    <t>United Kingdom</t>
  </si>
  <si>
    <t>US</t>
  </si>
  <si>
    <t>Grand Total</t>
  </si>
  <si>
    <t>Jan</t>
  </si>
  <si>
    <t>Feb</t>
  </si>
  <si>
    <t>Mar</t>
  </si>
  <si>
    <t>Apr</t>
  </si>
  <si>
    <t>May</t>
  </si>
  <si>
    <t>Nov</t>
  </si>
  <si>
    <t>Dec</t>
  </si>
  <si>
    <t>Count of Recovered</t>
  </si>
  <si>
    <t>Count of Active</t>
  </si>
  <si>
    <t>Count of Deaths</t>
  </si>
  <si>
    <t>Count of Confirmed</t>
  </si>
  <si>
    <t>Africa</t>
  </si>
  <si>
    <t>Asia</t>
  </si>
  <si>
    <t>Australia/Oceania</t>
  </si>
  <si>
    <t>Europe</t>
  </si>
  <si>
    <t>North America</t>
  </si>
  <si>
    <t>South America</t>
  </si>
  <si>
    <t>Count of DEATH REATE</t>
  </si>
  <si>
    <t>Country/Region</t>
  </si>
  <si>
    <t>Confirmed</t>
  </si>
  <si>
    <t>Deaths</t>
  </si>
  <si>
    <t>Recovered</t>
  </si>
  <si>
    <t>Active</t>
  </si>
  <si>
    <t>Population</t>
  </si>
  <si>
    <t>Continent</t>
  </si>
  <si>
    <t>Date of First Case</t>
  </si>
  <si>
    <t>DEATH REATE</t>
  </si>
  <si>
    <t>RECOVERY RATE</t>
  </si>
  <si>
    <t>INFECTION RATE</t>
  </si>
  <si>
    <t xml:space="preserve">CATEGORY(IFS ND OR) </t>
  </si>
  <si>
    <t>CATEGORY( IFS ND AND)</t>
  </si>
  <si>
    <t>ICON SET FOR DEATH CATEGORY</t>
  </si>
  <si>
    <t>Azerbaijan</t>
  </si>
  <si>
    <t>COUNTRY</t>
  </si>
  <si>
    <t>Afghanistan</t>
  </si>
  <si>
    <t>36263</t>
  </si>
  <si>
    <t>1269</t>
  </si>
  <si>
    <t>25198</t>
  </si>
  <si>
    <t>9796</t>
  </si>
  <si>
    <t>39009447</t>
  </si>
  <si>
    <t>VLOOKUP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</si>
  <si>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</si>
  <si>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</si>
  <si>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</si>
  <si>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</si>
  <si>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</si>
  <si>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</si>
  <si>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</si>
  <si>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</si>
  <si>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</si>
  <si>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</si>
  <si>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</si>
  <si>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</si>
  <si>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</si>
  <si>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</si>
  <si>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</si>
  <si>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</si>
  <si>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</si>
  <si>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</si>
  <si>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</si>
  <si>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</si>
  <si>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</si>
  <si>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Brunei</t>
  </si>
  <si>
    <t>Bulgaria</t>
  </si>
  <si>
    <t>Burkina Faso</t>
  </si>
  <si>
    <t>Myanmar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</si>
  <si>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</si>
  <si>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</si>
  <si>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</si>
  <si>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</si>
  <si>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</si>
  <si>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</si>
  <si>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</si>
  <si>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 17224679</t>
  </si>
  <si>
    <t>China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</si>
  <si>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</si>
  <si>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</si>
  <si>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</si>
  <si>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</si>
  <si>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</si>
  <si>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</si>
  <si>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</si>
  <si>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</si>
  <si>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</si>
  <si>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</si>
  <si>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</si>
  <si>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</si>
  <si>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</si>
  <si>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</si>
  <si>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</si>
  <si>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</si>
  <si>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</si>
  <si>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</si>
  <si>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</si>
  <si>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</si>
  <si>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</si>
  <si>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</si>
  <si>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</si>
  <si>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</si>
  <si>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</si>
  <si>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</si>
  <si>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</si>
  <si>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</si>
  <si>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</si>
  <si>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</si>
  <si>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</si>
  <si>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</si>
  <si>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</si>
  <si>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</si>
  <si>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</si>
  <si>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</si>
  <si>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</si>
  <si>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</si>
  <si>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</si>
  <si>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</si>
  <si>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</si>
  <si>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</si>
  <si>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</si>
  <si>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</si>
  <si>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</si>
  <si>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</si>
  <si>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</si>
  <si>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</si>
  <si>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</si>
  <si>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</si>
  <si>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</si>
  <si>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</si>
  <si>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</si>
  <si>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</si>
  <si>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</si>
  <si>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</si>
  <si>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</si>
  <si>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</si>
  <si>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</si>
  <si>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</si>
  <si>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</si>
  <si>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</si>
  <si>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</si>
  <si>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</si>
  <si>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</si>
  <si>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</si>
  <si>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</si>
  <si>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</si>
  <si>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</si>
  <si>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</si>
  <si>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</si>
  <si>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</si>
  <si>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</si>
  <si>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</si>
  <si>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</si>
  <si>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</si>
  <si>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</si>
  <si>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</si>
  <si>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</si>
  <si>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</si>
  <si>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</si>
  <si>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</si>
  <si>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</si>
  <si>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</si>
  <si>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</si>
  <si>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</si>
  <si>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</si>
  <si>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</si>
  <si>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</si>
  <si>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</si>
  <si>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</si>
  <si>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</si>
  <si>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Philippines</t>
  </si>
  <si>
    <t>Poland</t>
  </si>
  <si>
    <t>Portugal</t>
  </si>
  <si>
    <t>Qatar</t>
  </si>
  <si>
    <t>Romania</t>
  </si>
  <si>
    <t>Rwanda</t>
  </si>
  <si>
    <t>Saint Kitts and Nevis</t>
  </si>
  <si>
    <t>Saint Lucia</t>
  </si>
  <si>
    <t>Saint Vincent and the Grenadines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</si>
  <si>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</si>
  <si>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</si>
  <si>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</si>
  <si>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</si>
  <si>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</si>
  <si>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</si>
  <si>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</si>
  <si>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</si>
  <si>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</si>
  <si>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</si>
  <si>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</si>
  <si>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</si>
  <si>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</si>
  <si>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</si>
  <si>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</si>
  <si>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</si>
  <si>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</si>
  <si>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</si>
  <si>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</si>
  <si>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</si>
  <si>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</si>
  <si>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</si>
  <si>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</si>
  <si>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</si>
  <si>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</si>
  <si>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</si>
  <si>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</si>
  <si>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</si>
  <si>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</si>
  <si>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Uganda</t>
  </si>
  <si>
    <t>Ukraine</t>
  </si>
  <si>
    <t>United Arab Emirates</t>
  </si>
  <si>
    <t>Uruguay</t>
  </si>
  <si>
    <t>Uzbekistan</t>
  </si>
  <si>
    <t>Venezuela</t>
  </si>
  <si>
    <t>Vietnam</t>
  </si>
  <si>
    <t>West Bank and Gaza</t>
  </si>
  <si>
    <t>Western Sahara</t>
  </si>
  <si>
    <t>Yemen</t>
  </si>
  <si>
    <t>Zambia</t>
  </si>
  <si>
    <t>Zimbabwe</t>
  </si>
  <si>
    <t>PART 1: Role of Excel in Data Analytics</t>
  </si>
  <si>
    <t xml:space="preserve"> CUSTOMER ID</t>
  </si>
  <si>
    <t>Date</t>
  </si>
  <si>
    <t>Product</t>
  </si>
  <si>
    <t>Category</t>
  </si>
  <si>
    <t>Quantity</t>
  </si>
  <si>
    <t>Unit Price</t>
  </si>
  <si>
    <t>Region</t>
  </si>
  <si>
    <t>Salesperson</t>
  </si>
  <si>
    <t>TOTAL SALES</t>
  </si>
  <si>
    <t>Samosa</t>
  </si>
  <si>
    <t>Food</t>
  </si>
  <si>
    <t>North</t>
  </si>
  <si>
    <t>Amit</t>
  </si>
  <si>
    <t>Tea</t>
  </si>
  <si>
    <t>Beverage</t>
  </si>
  <si>
    <t>West</t>
  </si>
  <si>
    <t>Meera</t>
  </si>
  <si>
    <t>Sandwich</t>
  </si>
  <si>
    <t>South</t>
  </si>
  <si>
    <t>Neha</t>
  </si>
  <si>
    <t>Coffee</t>
  </si>
  <si>
    <t>East</t>
  </si>
  <si>
    <t>Rahul</t>
  </si>
  <si>
    <t>Vada Pav</t>
  </si>
  <si>
    <t>Riya</t>
  </si>
  <si>
    <t>ROLE OF EXCEL</t>
  </si>
  <si>
    <t>1) DATA COLLECTION - IMPORTING FROM CSV, DATABASE, OR FORM</t>
  </si>
  <si>
    <t>2) DATA CLEANING - REMOVING DUPLICATES, SORTING, GROUPING, TRIMMING, REPLACE, SUBSTITUTE, CLEAN , FIND</t>
  </si>
  <si>
    <t>3)ANALYSING - USING FORMULAS, PIVOT TABLES ND CHARTS</t>
  </si>
  <si>
    <t>4)VISUALIZING - CREARING DASHBOARD AND GRAPHS FOR INSIGHTS</t>
  </si>
  <si>
    <t xml:space="preserve">PART 2: Excel Interface and Navigation
</t>
  </si>
  <si>
    <t>Tasks: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</si>
  <si>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Identify where to find tools for Sorting, Filtering, Conditional Formatting, and Charts.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</si>
  <si>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Practice keyboard shortcuts for navigation and quick calculations.</t>
    </r>
  </si>
  <si>
    <t xml:space="preserve">              3.   Convert Sales data into a table and name it appropriately.</t>
  </si>
  <si>
    <t>PART 3: Data Types (Text, Number, Date, Boolean)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</si>
  <si>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Add a new column “Delivered” with TRUE/FALSE values.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</si>
  <si>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Format “Date” as both short and long date.</t>
    </r>
  </si>
  <si>
    <t>Convert “Product” names to uppercase</t>
  </si>
  <si>
    <t xml:space="preserve"> </t>
  </si>
  <si>
    <t>DELIVERED</t>
  </si>
  <si>
    <t>UPPER CASE</t>
  </si>
  <si>
    <t>PART 4: Formatting Basics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</si>
  <si>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Apply currency format to Unit Price.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</si>
  <si>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Apply comma style to Quantity.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</si>
  <si>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Apply Header Cell Style.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</si>
  <si>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Highlight Total Sales above ₹300000 using Conditional Formatting.</t>
    </r>
  </si>
  <si>
    <t>PART 5: Sorting &amp; Filtering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</si>
  <si>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Sort data by Region.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</si>
  <si>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Filter only rows with Sales &gt; ₹400.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</si>
  <si>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Display only Beverage category.</t>
    </r>
  </si>
  <si>
    <t>PART 6: Math &amp; Statistical Functions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</si>
  <si>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Calculate Total Sales.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</si>
  <si>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Find Average Unit Price.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</si>
  <si>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Count number of Products.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</si>
  <si>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Round Average values.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</si>
  <si>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Find remainder of Quantity ÷ 6.</t>
    </r>
  </si>
  <si>
    <t>MOD BY 6</t>
  </si>
  <si>
    <t>SALES/3</t>
  </si>
  <si>
    <t>ROUND FUNCTION</t>
  </si>
  <si>
    <t>PART 7: Logical Functions (IF, IFS, AND, OR, NOT)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</si>
  <si>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Add column “High Sale?”</t>
    </r>
  </si>
  <si>
    <t xml:space="preserve">  HIGH SALES 350 ND MORE</t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</si>
  <si>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Add column “Discount?”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</si>
  <si>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Add column “Priority Region.”</t>
    </r>
  </si>
  <si>
    <t>IF</t>
  </si>
  <si>
    <t>IF and OR</t>
  </si>
  <si>
    <t>IF and AND</t>
  </si>
  <si>
    <t>NOT</t>
  </si>
  <si>
    <t>PART 8: Text Functions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</si>
  <si>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Remove extra spaces.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</si>
  <si>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Convert to lowercase.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</si>
  <si>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Extract domain name from email.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</si>
  <si>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Join name and email.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</si>
  <si>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Combine multiple names in one cell.</t>
    </r>
  </si>
  <si>
    <t>Customer Name</t>
  </si>
  <si>
    <t>Email</t>
  </si>
  <si>
    <t>TRIM (EXTRA SPACE REMOVED)</t>
  </si>
  <si>
    <t>LOWER CASE</t>
  </si>
  <si>
    <t>CONCAT</t>
  </si>
  <si>
    <t>TEXTJOIN</t>
  </si>
  <si>
    <t>LEN</t>
  </si>
  <si>
    <t>riya@ gmail.com</t>
  </si>
  <si>
    <t>AMIT@YAHOO.COM</t>
  </si>
  <si>
    <t>neha123 @hotmail.com</t>
  </si>
  <si>
    <t>PART 9: Date Functions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</si>
  <si>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Display current date.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</si>
  <si>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Display current time.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</si>
  <si>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Find number of months worked.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</si>
  <si>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Add 6 months to the join date.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</si>
  <si>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Calculate working days between two dates.</t>
    </r>
  </si>
  <si>
    <t>Employee</t>
  </si>
  <si>
    <t>Join Date</t>
  </si>
  <si>
    <t>End Date</t>
  </si>
  <si>
    <t>CURRENT DATE</t>
  </si>
  <si>
    <t>CUURENT TIME</t>
  </si>
  <si>
    <t>DATEDIF</t>
  </si>
  <si>
    <t>EDATE</t>
  </si>
  <si>
    <t>NETWORKDAYS</t>
  </si>
  <si>
    <t>PART 10: Lookup Functions (VLOOKUP, HLOOKUP)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</si>
  <si>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Find product price using lookup function.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</si>
  <si>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Calculate Total Sales.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</si>
  <si>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Try HLOOKUP with horizontal data arrangement.</t>
    </r>
  </si>
  <si>
    <t>Price</t>
  </si>
  <si>
    <t>Dataset: Sales</t>
  </si>
  <si>
    <t>Order ID</t>
  </si>
  <si>
    <t>PRICE</t>
  </si>
  <si>
    <t>PART 11: Conditional Formatting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</si>
  <si>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Highlight Sales &gt; ₹500.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</si>
  <si>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Highlight Top 10% performers.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</si>
  <si>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Highlight duplicate products.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</si>
  <si>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Apply Data Bars and Color Scales.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</si>
  <si>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Use Icon Sets for sales performance.</t>
    </r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</si>
  <si>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Create a custom rule to highlight high-performing products.</t>
    </r>
  </si>
  <si>
    <t>PART 12: Charts and Visualization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</si>
  <si>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Create a Column Chart for Sales by Product.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</si>
  <si>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Create a Pie Chart for Category-wise contribution.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</si>
  <si>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Make a Combination Chart with Sales and Quantity.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</si>
  <si>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Add titles, legends, and labels.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</si>
  <si>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Discuss which chart suits which type of data.</t>
    </r>
  </si>
  <si>
    <t>BONUS PROJECT: Monthly Sales Dashboard</t>
  </si>
  <si>
    <t>Dataset: Monthly_Sales</t>
  </si>
  <si>
    <t>Month</t>
  </si>
  <si>
    <t>Orders</t>
  </si>
  <si>
    <t>Sales</t>
  </si>
  <si>
    <t>Target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</si>
  <si>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Add % Achievement column.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</si>
  <si>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Apply conditional icon formatting.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</si>
  <si>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Create a Line and Column Combination Chart.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</si>
  <si>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Add formula to label months with sales drop.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</si>
</sst>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[$-F800]dddd\,\ mmmm\ dd\,\ yyyy"/>
    <numFmt numFmtId="165" formatCode="&quot;₹&quot;\ #,##0.00"/>
    <numFmt numFmtId="166" formatCode="[$-409]d\-mmm\-yy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theme="1"/>
      <name val="Arial"/>
      <family val="2"/>
    </font>
    <font>
      <b/>
      <sz val="16"/>
      <color rgb="FF0F4761"/>
      <name val="Arial"/>
      <family val="2"/>
    </font>
    <font>
      <b/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0F4761"/>
      <name val="Aptos"/>
      <family val="2"/>
    </font>
    <font>
      <sz val="12"/>
      <color theme="1"/>
      <name val="Aptos"/>
      <family val="2"/>
    </font>
    <font>
      <sz val="7"/>
      <color theme="1"/>
      <name val="Times New Roman"/>
      <family val="1"/>
    </font>
    <font>
      <b/>
      <sz val="11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165" fontId="3" fillId="0" borderId="0" xfId="0" applyNumberFormat="1" applyFont="1" applyAlignment="1">
      <alignment vertical="center" wrapText="1"/>
    </xf>
    <xf numFmtId="43" fontId="3" fillId="0" borderId="0" xfId="2" applyFont="1" applyAlignment="1">
      <alignment vertical="center" wrapText="1"/>
    </xf>
    <xf numFmtId="0" fontId="2" fillId="0" borderId="1" xfId="1" applyAlignment="1">
      <alignment vertical="center" wrapText="1"/>
    </xf>
    <xf numFmtId="164" fontId="2" fillId="0" borderId="1" xfId="1" applyNumberFormat="1" applyAlignment="1">
      <alignment vertical="center" wrapText="1"/>
    </xf>
    <xf numFmtId="43" fontId="2" fillId="0" borderId="1" xfId="1" applyNumberFormat="1" applyAlignment="1">
      <alignment vertical="center" wrapText="1"/>
    </xf>
    <xf numFmtId="165" fontId="2" fillId="0" borderId="1" xfId="1" applyNumberFormat="1" applyAlignment="1">
      <alignment vertical="center" wrapText="1"/>
    </xf>
    <xf numFmtId="0" fontId="4" fillId="2" borderId="0" xfId="0" applyFont="1" applyFill="1" applyAlignment="1">
      <alignment vertical="center"/>
    </xf>
    <xf numFmtId="0" fontId="0" fillId="2" borderId="0" xfId="0" applyFill="1"/>
    <xf numFmtId="0" fontId="2" fillId="2" borderId="0" xfId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0" fillId="3" borderId="0" xfId="0" applyFill="1"/>
    <xf numFmtId="0" fontId="8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left" vertical="center" indent="5"/>
    </xf>
    <xf numFmtId="0" fontId="3" fillId="0" borderId="2" xfId="0" applyFont="1" applyBorder="1" applyAlignment="1">
      <alignment vertical="center" wrapText="1"/>
    </xf>
    <xf numFmtId="164" fontId="3" fillId="0" borderId="2" xfId="0" applyNumberFormat="1" applyFont="1" applyBorder="1" applyAlignment="1">
      <alignment vertical="center" wrapText="1"/>
    </xf>
    <xf numFmtId="43" fontId="3" fillId="0" borderId="2" xfId="2" applyFont="1" applyBorder="1" applyAlignment="1">
      <alignment vertical="center" wrapText="1"/>
    </xf>
    <xf numFmtId="165" fontId="3" fillId="0" borderId="2" xfId="0" applyNumberFormat="1" applyFont="1" applyBorder="1" applyAlignment="1">
      <alignment vertical="center" wrapText="1"/>
    </xf>
    <xf numFmtId="43" fontId="0" fillId="0" borderId="0" xfId="0" applyNumberFormat="1"/>
    <xf numFmtId="0" fontId="9" fillId="4" borderId="0" xfId="0" applyFont="1" applyFill="1" applyAlignment="1">
      <alignment horizontal="left" vertical="center" indent="5"/>
    </xf>
    <xf numFmtId="0" fontId="0" fillId="4" borderId="0" xfId="0" applyFill="1"/>
    <xf numFmtId="0" fontId="3" fillId="0" borderId="3" xfId="0" applyFont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2" fillId="0" borderId="5" xfId="1" applyBorder="1" applyAlignment="1">
      <alignment vertical="center" wrapText="1"/>
    </xf>
    <xf numFmtId="164" fontId="2" fillId="0" borderId="6" xfId="1" applyNumberFormat="1" applyBorder="1" applyAlignment="1">
      <alignment vertical="center" wrapText="1"/>
    </xf>
    <xf numFmtId="0" fontId="2" fillId="0" borderId="6" xfId="1" applyBorder="1" applyAlignment="1">
      <alignment vertical="center" wrapText="1"/>
    </xf>
    <xf numFmtId="43" fontId="2" fillId="0" borderId="6" xfId="1" applyNumberFormat="1" applyBorder="1" applyAlignment="1">
      <alignment vertical="center" wrapText="1"/>
    </xf>
    <xf numFmtId="165" fontId="2" fillId="0" borderId="6" xfId="1" applyNumberFormat="1" applyBorder="1" applyAlignment="1">
      <alignment vertical="center" wrapText="1"/>
    </xf>
    <xf numFmtId="0" fontId="2" fillId="2" borderId="7" xfId="1" applyFill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164" fontId="3" fillId="0" borderId="9" xfId="0" applyNumberFormat="1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43" fontId="3" fillId="0" borderId="9" xfId="2" applyFont="1" applyBorder="1" applyAlignment="1">
      <alignment vertical="center" wrapText="1"/>
    </xf>
    <xf numFmtId="165" fontId="3" fillId="0" borderId="9" xfId="0" applyNumberFormat="1" applyFont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14" fontId="3" fillId="0" borderId="0" xfId="0" applyNumberFormat="1" applyFont="1" applyAlignment="1">
      <alignment vertical="center" wrapText="1"/>
    </xf>
    <xf numFmtId="0" fontId="0" fillId="7" borderId="0" xfId="0" applyFill="1"/>
    <xf numFmtId="43" fontId="3" fillId="0" borderId="0" xfId="3" applyFont="1" applyAlignment="1">
      <alignment vertical="center" wrapText="1"/>
    </xf>
    <xf numFmtId="43" fontId="3" fillId="2" borderId="0" xfId="3" applyFont="1" applyFill="1" applyAlignment="1">
      <alignment vertical="center" wrapText="1"/>
    </xf>
    <xf numFmtId="165" fontId="0" fillId="0" borderId="0" xfId="0" applyNumberFormat="1"/>
    <xf numFmtId="0" fontId="9" fillId="0" borderId="1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6" borderId="10" xfId="0" applyFill="1" applyBorder="1" applyAlignment="1">
      <alignment horizontal="left" vertical="center" indent="1"/>
    </xf>
    <xf numFmtId="0" fontId="0" fillId="6" borderId="10" xfId="0" applyFill="1" applyBorder="1" applyAlignment="1">
      <alignment horizontal="right" vertical="center"/>
    </xf>
    <xf numFmtId="166" fontId="0" fillId="6" borderId="9" xfId="0" applyNumberFormat="1" applyFill="1" applyBorder="1" applyAlignment="1">
      <alignment horizontal="right" vertical="center"/>
    </xf>
    <xf numFmtId="0" fontId="0" fillId="0" borderId="10" xfId="0" applyBorder="1" applyAlignment="1">
      <alignment horizontal="left" vertical="center" indent="1"/>
    </xf>
    <xf numFmtId="0" fontId="0" fillId="0" borderId="10" xfId="0" applyBorder="1" applyAlignment="1">
      <alignment horizontal="right" vertical="center"/>
    </xf>
    <xf numFmtId="166" fontId="0" fillId="0" borderId="9" xfId="0" applyNumberFormat="1" applyBorder="1" applyAlignment="1">
      <alignment horizontal="right" vertical="center"/>
    </xf>
    <xf numFmtId="1" fontId="0" fillId="6" borderId="10" xfId="0" applyNumberFormat="1" applyFill="1" applyBorder="1" applyAlignment="1">
      <alignment horizontal="right" vertical="center"/>
    </xf>
    <xf numFmtId="1" fontId="0" fillId="0" borderId="10" xfId="0" applyNumberFormat="1" applyBorder="1" applyAlignment="1">
      <alignment horizontal="right" vertical="center"/>
    </xf>
    <xf numFmtId="3" fontId="0" fillId="0" borderId="12" xfId="0" applyNumberFormat="1" applyBorder="1" applyAlignment="1">
      <alignment vertical="center"/>
    </xf>
    <xf numFmtId="0" fontId="0" fillId="6" borderId="4" xfId="0" applyFill="1" applyBorder="1" applyAlignment="1">
      <alignment horizontal="left" vertical="center" indent="1"/>
    </xf>
    <xf numFmtId="0" fontId="0" fillId="6" borderId="4" xfId="0" applyFill="1" applyBorder="1" applyAlignment="1">
      <alignment horizontal="right" vertical="center"/>
    </xf>
    <xf numFmtId="166" fontId="0" fillId="6" borderId="2" xfId="0" applyNumberFormat="1" applyFill="1" applyBorder="1" applyAlignment="1">
      <alignment horizontal="right" vertical="center"/>
    </xf>
    <xf numFmtId="0" fontId="9" fillId="8" borderId="0" xfId="0" applyFont="1" applyFill="1" applyAlignment="1">
      <alignment horizontal="left" vertical="center" indent="5"/>
    </xf>
    <xf numFmtId="0" fontId="0" fillId="8" borderId="0" xfId="0" applyFill="1"/>
    <xf numFmtId="14" fontId="0" fillId="0" borderId="0" xfId="0" applyNumberFormat="1"/>
    <xf numFmtId="14" fontId="9" fillId="0" borderId="0" xfId="0" applyNumberFormat="1" applyFont="1" applyAlignment="1">
      <alignment vertical="center" wrapText="1"/>
    </xf>
    <xf numFmtId="22" fontId="0" fillId="0" borderId="0" xfId="0" applyNumberFormat="1"/>
    <xf numFmtId="0" fontId="6" fillId="3" borderId="0" xfId="0" applyFont="1" applyFill="1"/>
    <xf numFmtId="0" fontId="9" fillId="0" borderId="0" xfId="0" applyFont="1" applyAlignment="1">
      <alignment vertical="center"/>
    </xf>
    <xf numFmtId="0" fontId="5" fillId="5" borderId="10" xfId="0" applyFont="1" applyFill="1" applyBorder="1" applyAlignment="1">
      <alignment vertical="center"/>
    </xf>
    <xf numFmtId="1" fontId="5" fillId="5" borderId="10" xfId="0" applyNumberFormat="1" applyFont="1" applyFill="1" applyBorder="1" applyAlignment="1">
      <alignment vertical="center"/>
    </xf>
    <xf numFmtId="14" fontId="11" fillId="5" borderId="9" xfId="0" applyNumberFormat="1" applyFont="1" applyFill="1" applyBorder="1" applyAlignment="1">
      <alignment vertical="center"/>
    </xf>
    <xf numFmtId="0" fontId="5" fillId="5" borderId="13" xfId="0" applyFont="1" applyFill="1" applyBorder="1" applyAlignment="1">
      <alignment vertical="center"/>
    </xf>
    <xf numFmtId="9" fontId="0" fillId="0" borderId="0" xfId="4" applyFont="1"/>
    <xf numFmtId="0" fontId="0" fillId="0" borderId="0" xfId="0" pivotButton="1"/>
    <xf numFmtId="0" fontId="0" fillId="0" borderId="0" xfId="0" applyAlignment="1">
      <alignment horizontal="left"/>
    </xf>
    <xf numFmtId="0" fontId="5" fillId="5" borderId="0" xfId="0" applyFont="1" applyFill="1" applyAlignment="1">
      <alignment vertical="center"/>
    </xf>
    <xf numFmtId="0" fontId="7" fillId="3" borderId="0" xfId="0" applyFont="1" applyFill="1" applyAlignment="1">
      <alignment horizontal="left" vertical="top" wrapText="1"/>
    </xf>
    <xf numFmtId="0" fontId="0" fillId="3" borderId="0" xfId="0" applyFill="1" applyAlignment="1">
      <alignment horizontal="left" vertical="top"/>
    </xf>
  </cellXfs>
  <cellStyles count="5">
    <cellStyle name="Comma" xfId="3" builtinId="3"/>
    <cellStyle name="Comma 2" xfId="2" xr:uid="{70201F9D-DA0B-4B47-8451-03F9A1E2C556}"/>
    <cellStyle name="Heading 2" xfId="1" builtinId="17"/>
    <cellStyle name="Normal" xfId="0" builtinId="0"/>
    <cellStyle name="Percent" xfId="4" builtinId="5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7" tint="0.3999755851924192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&quot;₹&quot;\ #,##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F800]dddd\,\ mmmm\ dd\,\ yy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 PROJECTS  WEEK1 HANDSON SOLVED.xlsx]COLUMN CHART!PivotTable1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Sum of Confirmed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CHART'!$A$4:$A$14</c:f>
              <c:strCache>
                <c:ptCount val="10"/>
                <c:pt idx="0">
                  <c:v>Brazil</c:v>
                </c:pt>
                <c:pt idx="1">
                  <c:v>Chile</c:v>
                </c:pt>
                <c:pt idx="2">
                  <c:v>India</c:v>
                </c:pt>
                <c:pt idx="3">
                  <c:v>Iran</c:v>
                </c:pt>
                <c:pt idx="4">
                  <c:v>Mexico</c:v>
                </c:pt>
                <c:pt idx="5">
                  <c:v>Peru</c:v>
                </c:pt>
                <c:pt idx="6">
                  <c:v>Russia</c:v>
                </c:pt>
                <c:pt idx="7">
                  <c:v>South Africa</c:v>
                </c:pt>
                <c:pt idx="8">
                  <c:v>United Kingdom</c:v>
                </c:pt>
                <c:pt idx="9">
                  <c:v>US</c:v>
                </c:pt>
              </c:strCache>
            </c:strRef>
          </c:cat>
          <c:val>
            <c:numRef>
              <c:f>'COLUMN CHART'!$B$4:$B$14</c:f>
              <c:numCache>
                <c:formatCode>General</c:formatCode>
                <c:ptCount val="10"/>
                <c:pt idx="0">
                  <c:v>2442375</c:v>
                </c:pt>
                <c:pt idx="1">
                  <c:v>347923</c:v>
                </c:pt>
                <c:pt idx="2">
                  <c:v>1480073</c:v>
                </c:pt>
                <c:pt idx="3">
                  <c:v>293606</c:v>
                </c:pt>
                <c:pt idx="4">
                  <c:v>395489</c:v>
                </c:pt>
                <c:pt idx="5">
                  <c:v>389717</c:v>
                </c:pt>
                <c:pt idx="6">
                  <c:v>816680</c:v>
                </c:pt>
                <c:pt idx="7">
                  <c:v>452529</c:v>
                </c:pt>
                <c:pt idx="8">
                  <c:v>301708</c:v>
                </c:pt>
                <c:pt idx="9">
                  <c:v>4290259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4-4D79-9978-500E6FBF22BD}"/>
            </c:ext>
          </c:extLst>
        </c:ser>
        <c:ser>
          <c:idx val="1"/>
          <c:order val="1"/>
          <c:tx>
            <c:strRef>
              <c:f>'COLUMN CHART'!$C$3</c:f>
              <c:strCache>
                <c:ptCount val="1"/>
                <c:pt idx="0">
                  <c:v>Sum of Recovered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'COLUMN CHART'!$A$4:$A$14</c:f>
              <c:strCache>
                <c:ptCount val="10"/>
                <c:pt idx="0">
                  <c:v>Brazil</c:v>
                </c:pt>
                <c:pt idx="1">
                  <c:v>Chile</c:v>
                </c:pt>
                <c:pt idx="2">
                  <c:v>India</c:v>
                </c:pt>
                <c:pt idx="3">
                  <c:v>Iran</c:v>
                </c:pt>
                <c:pt idx="4">
                  <c:v>Mexico</c:v>
                </c:pt>
                <c:pt idx="5">
                  <c:v>Peru</c:v>
                </c:pt>
                <c:pt idx="6">
                  <c:v>Russia</c:v>
                </c:pt>
                <c:pt idx="7">
                  <c:v>South Africa</c:v>
                </c:pt>
                <c:pt idx="8">
                  <c:v>United Kingdom</c:v>
                </c:pt>
                <c:pt idx="9">
                  <c:v>US</c:v>
                </c:pt>
              </c:strCache>
            </c:strRef>
          </c:cat>
          <c:val>
            <c:numRef>
              <c:f>'COLUMN CHART'!$C$4:$C$14</c:f>
              <c:numCache>
                <c:formatCode>General</c:formatCode>
                <c:ptCount val="10"/>
                <c:pt idx="0">
                  <c:v>1846641</c:v>
                </c:pt>
                <c:pt idx="1">
                  <c:v>319954</c:v>
                </c:pt>
                <c:pt idx="2">
                  <c:v>951166</c:v>
                </c:pt>
                <c:pt idx="3">
                  <c:v>255144</c:v>
                </c:pt>
                <c:pt idx="4">
                  <c:v>303810</c:v>
                </c:pt>
                <c:pt idx="5">
                  <c:v>272547</c:v>
                </c:pt>
                <c:pt idx="6">
                  <c:v>602249</c:v>
                </c:pt>
                <c:pt idx="7">
                  <c:v>274925</c:v>
                </c:pt>
                <c:pt idx="8">
                  <c:v>1437</c:v>
                </c:pt>
                <c:pt idx="9">
                  <c:v>1325804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64-4D79-9978-500E6FBF2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6904863"/>
        <c:axId val="676927423"/>
      </c:barChart>
      <c:catAx>
        <c:axId val="67690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927423"/>
        <c:crosses val="autoZero"/>
        <c:auto val="1"/>
        <c:lblAlgn val="ctr"/>
        <c:lblOffset val="100"/>
        <c:noMultiLvlLbl val="0"/>
      </c:catAx>
      <c:valAx>
        <c:axId val="67692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90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 PROJECTS  WEEK1 HANDSON SOLVED.xlsx]LINE CHART!PivotTable2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CHART'!$A$4:$A$11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Nov</c:v>
                </c:pt>
                <c:pt idx="6">
                  <c:v>Dec</c:v>
                </c:pt>
              </c:strCache>
            </c:strRef>
          </c:cat>
          <c:val>
            <c:numRef>
              <c:f>'LINE CHART'!$B$4:$B$11</c:f>
              <c:numCache>
                <c:formatCode>General</c:formatCode>
                <c:ptCount val="7"/>
                <c:pt idx="0">
                  <c:v>8097972</c:v>
                </c:pt>
                <c:pt idx="1">
                  <c:v>4529239</c:v>
                </c:pt>
                <c:pt idx="2">
                  <c:v>3493247</c:v>
                </c:pt>
                <c:pt idx="3">
                  <c:v>16124</c:v>
                </c:pt>
                <c:pt idx="4">
                  <c:v>505</c:v>
                </c:pt>
                <c:pt idx="5">
                  <c:v>86783</c:v>
                </c:pt>
                <c:pt idx="6">
                  <c:v>220352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76-40B9-A5E5-A7E1F0FFB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6913983"/>
        <c:axId val="676914463"/>
      </c:lineChart>
      <c:catAx>
        <c:axId val="676913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914463"/>
        <c:crosses val="autoZero"/>
        <c:auto val="1"/>
        <c:lblAlgn val="ctr"/>
        <c:lblOffset val="100"/>
        <c:noMultiLvlLbl val="0"/>
      </c:catAx>
      <c:valAx>
        <c:axId val="67691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91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 PROJECTS  WEEK1 HANDSON SOLVED.xlsx]PIE CHART!PivotTable4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Count of Recovered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D9-409B-9C0C-ED05347409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D9-409B-9C0C-ED05347409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4D9-409B-9C0C-ED05347409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4D9-409B-9C0C-ED05347409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4D9-409B-9C0C-ED05347409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4D9-409B-9C0C-ED05347409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CHART'!$A$4:$A$10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Australia/Oceania</c:v>
                </c:pt>
                <c:pt idx="3">
                  <c:v>Europe</c:v>
                </c:pt>
                <c:pt idx="4">
                  <c:v>North America</c:v>
                </c:pt>
                <c:pt idx="5">
                  <c:v>South America</c:v>
                </c:pt>
              </c:strCache>
            </c:strRef>
          </c:cat>
          <c:val>
            <c:numRef>
              <c:f>'PIE CHART'!$B$4:$B$10</c:f>
              <c:numCache>
                <c:formatCode>General</c:formatCode>
                <c:ptCount val="6"/>
                <c:pt idx="0">
                  <c:v>56</c:v>
                </c:pt>
                <c:pt idx="1">
                  <c:v>47</c:v>
                </c:pt>
                <c:pt idx="2">
                  <c:v>4</c:v>
                </c:pt>
                <c:pt idx="3">
                  <c:v>45</c:v>
                </c:pt>
                <c:pt idx="4">
                  <c:v>23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5E-4E53-8802-FB973161D128}"/>
            </c:ext>
          </c:extLst>
        </c:ser>
        <c:ser>
          <c:idx val="1"/>
          <c:order val="1"/>
          <c:tx>
            <c:strRef>
              <c:f>'PIE CHART'!$C$3</c:f>
              <c:strCache>
                <c:ptCount val="1"/>
                <c:pt idx="0">
                  <c:v>Count of Active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4D9-409B-9C0C-ED05347409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4D9-409B-9C0C-ED05347409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4D9-409B-9C0C-ED05347409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4D9-409B-9C0C-ED05347409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4D9-409B-9C0C-ED05347409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4D9-409B-9C0C-ED05347409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CHART'!$A$4:$A$10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Australia/Oceania</c:v>
                </c:pt>
                <c:pt idx="3">
                  <c:v>Europe</c:v>
                </c:pt>
                <c:pt idx="4">
                  <c:v>North America</c:v>
                </c:pt>
                <c:pt idx="5">
                  <c:v>South America</c:v>
                </c:pt>
              </c:strCache>
            </c:strRef>
          </c:cat>
          <c:val>
            <c:numRef>
              <c:f>'PIE CHART'!$C$4:$C$10</c:f>
              <c:numCache>
                <c:formatCode>General</c:formatCode>
                <c:ptCount val="6"/>
                <c:pt idx="0">
                  <c:v>56</c:v>
                </c:pt>
                <c:pt idx="1">
                  <c:v>47</c:v>
                </c:pt>
                <c:pt idx="2">
                  <c:v>4</c:v>
                </c:pt>
                <c:pt idx="3">
                  <c:v>45</c:v>
                </c:pt>
                <c:pt idx="4">
                  <c:v>23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5E-4E53-8802-FB973161D128}"/>
            </c:ext>
          </c:extLst>
        </c:ser>
        <c:ser>
          <c:idx val="2"/>
          <c:order val="2"/>
          <c:tx>
            <c:strRef>
              <c:f>'PIE CHART'!$D$3</c:f>
              <c:strCache>
                <c:ptCount val="1"/>
                <c:pt idx="0">
                  <c:v>Count of Deaths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4D9-409B-9C0C-ED05347409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4D9-409B-9C0C-ED05347409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4D9-409B-9C0C-ED05347409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4D9-409B-9C0C-ED05347409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4D9-409B-9C0C-ED05347409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4D9-409B-9C0C-ED05347409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CHART'!$A$4:$A$10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Australia/Oceania</c:v>
                </c:pt>
                <c:pt idx="3">
                  <c:v>Europe</c:v>
                </c:pt>
                <c:pt idx="4">
                  <c:v>North America</c:v>
                </c:pt>
                <c:pt idx="5">
                  <c:v>South America</c:v>
                </c:pt>
              </c:strCache>
            </c:strRef>
          </c:cat>
          <c:val>
            <c:numRef>
              <c:f>'PIE CHART'!$D$4:$D$10</c:f>
              <c:numCache>
                <c:formatCode>General</c:formatCode>
                <c:ptCount val="6"/>
                <c:pt idx="0">
                  <c:v>56</c:v>
                </c:pt>
                <c:pt idx="1">
                  <c:v>47</c:v>
                </c:pt>
                <c:pt idx="2">
                  <c:v>4</c:v>
                </c:pt>
                <c:pt idx="3">
                  <c:v>45</c:v>
                </c:pt>
                <c:pt idx="4">
                  <c:v>23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5E-4E53-8802-FB973161D128}"/>
            </c:ext>
          </c:extLst>
        </c:ser>
        <c:ser>
          <c:idx val="3"/>
          <c:order val="3"/>
          <c:tx>
            <c:strRef>
              <c:f>'PIE CHART'!$E$3</c:f>
              <c:strCache>
                <c:ptCount val="1"/>
                <c:pt idx="0">
                  <c:v>Count of Confirmed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4D9-409B-9C0C-ED05347409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64D9-409B-9C0C-ED05347409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64D9-409B-9C0C-ED05347409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64D9-409B-9C0C-ED05347409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64D9-409B-9C0C-ED05347409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64D9-409B-9C0C-ED05347409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CHART'!$A$4:$A$10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Australia/Oceania</c:v>
                </c:pt>
                <c:pt idx="3">
                  <c:v>Europe</c:v>
                </c:pt>
                <c:pt idx="4">
                  <c:v>North America</c:v>
                </c:pt>
                <c:pt idx="5">
                  <c:v>South America</c:v>
                </c:pt>
              </c:strCache>
            </c:strRef>
          </c:cat>
          <c:val>
            <c:numRef>
              <c:f>'PIE CHART'!$E$4:$E$10</c:f>
              <c:numCache>
                <c:formatCode>General</c:formatCode>
                <c:ptCount val="6"/>
                <c:pt idx="0">
                  <c:v>56</c:v>
                </c:pt>
                <c:pt idx="1">
                  <c:v>47</c:v>
                </c:pt>
                <c:pt idx="2">
                  <c:v>4</c:v>
                </c:pt>
                <c:pt idx="3">
                  <c:v>45</c:v>
                </c:pt>
                <c:pt idx="4">
                  <c:v>23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5E-4E53-8802-FB973161D1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 PROJECTS  WEEK1 HANDSON SOLVED.xlsx]COMBO CHART!PivotTable5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CHART'!$B$3</c:f>
              <c:strCache>
                <c:ptCount val="1"/>
                <c:pt idx="0">
                  <c:v>Count of Confirmed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'COMBO CHART'!$A$4:$A$11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Nov</c:v>
                </c:pt>
                <c:pt idx="6">
                  <c:v>Dec</c:v>
                </c:pt>
              </c:strCache>
            </c:strRef>
          </c:cat>
          <c:val>
            <c:numRef>
              <c:f>'COMBO CHART'!$B$4:$B$11</c:f>
              <c:numCache>
                <c:formatCode>General</c:formatCode>
                <c:ptCount val="7"/>
                <c:pt idx="0">
                  <c:v>22</c:v>
                </c:pt>
                <c:pt idx="1">
                  <c:v>38</c:v>
                </c:pt>
                <c:pt idx="2">
                  <c:v>117</c:v>
                </c:pt>
                <c:pt idx="3">
                  <c:v>7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B6-469C-B132-BF4A90B69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6266687"/>
        <c:axId val="636276767"/>
      </c:barChart>
      <c:lineChart>
        <c:grouping val="standard"/>
        <c:varyColors val="0"/>
        <c:ser>
          <c:idx val="1"/>
          <c:order val="1"/>
          <c:tx>
            <c:strRef>
              <c:f>'COMBO CHART'!$C$3</c:f>
              <c:strCache>
                <c:ptCount val="1"/>
                <c:pt idx="0">
                  <c:v>Count of DEATH REATE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'COMBO CHART'!$A$4:$A$11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Nov</c:v>
                </c:pt>
                <c:pt idx="6">
                  <c:v>Dec</c:v>
                </c:pt>
              </c:strCache>
            </c:strRef>
          </c:cat>
          <c:val>
            <c:numRef>
              <c:f>'COMBO CHART'!$C$4:$C$11</c:f>
              <c:numCache>
                <c:formatCode>General</c:formatCode>
                <c:ptCount val="7"/>
                <c:pt idx="0">
                  <c:v>22</c:v>
                </c:pt>
                <c:pt idx="1">
                  <c:v>38</c:v>
                </c:pt>
                <c:pt idx="2">
                  <c:v>117</c:v>
                </c:pt>
                <c:pt idx="3">
                  <c:v>7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B6-469C-B132-BF4A90B69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6266687"/>
        <c:axId val="636276767"/>
      </c:lineChart>
      <c:catAx>
        <c:axId val="63626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276767"/>
        <c:crosses val="autoZero"/>
        <c:auto val="1"/>
        <c:lblAlgn val="ctr"/>
        <c:lblOffset val="100"/>
        <c:noMultiLvlLbl val="0"/>
      </c:catAx>
      <c:valAx>
        <c:axId val="63627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26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WORK1!$I$22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WORK1!$C$23:$C$27</c:f>
              <c:strCache>
                <c:ptCount val="5"/>
                <c:pt idx="0">
                  <c:v>Samosa</c:v>
                </c:pt>
                <c:pt idx="1">
                  <c:v>Tea</c:v>
                </c:pt>
                <c:pt idx="2">
                  <c:v>Coffee</c:v>
                </c:pt>
                <c:pt idx="3">
                  <c:v>Sandwich</c:v>
                </c:pt>
                <c:pt idx="4">
                  <c:v>Vada Pav</c:v>
                </c:pt>
              </c:strCache>
            </c:strRef>
          </c:cat>
          <c:val>
            <c:numRef>
              <c:f>WORK1!$I$23:$I$27</c:f>
              <c:numCache>
                <c:formatCode>General</c:formatCode>
                <c:ptCount val="5"/>
                <c:pt idx="0">
                  <c:v>300</c:v>
                </c:pt>
                <c:pt idx="1">
                  <c:v>300</c:v>
                </c:pt>
                <c:pt idx="2">
                  <c:v>375</c:v>
                </c:pt>
                <c:pt idx="3">
                  <c:v>400</c:v>
                </c:pt>
                <c:pt idx="4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BB-4C49-AB4E-1C2CECA164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03358880"/>
        <c:axId val="1603359360"/>
      </c:barChart>
      <c:catAx>
        <c:axId val="160335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359360"/>
        <c:crosses val="autoZero"/>
        <c:auto val="1"/>
        <c:lblAlgn val="ctr"/>
        <c:lblOffset val="100"/>
        <c:noMultiLvlLbl val="0"/>
      </c:catAx>
      <c:valAx>
        <c:axId val="1603359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35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F96DEC-D024-B63C-C7AB-E37B38C5DD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541020</xdr:colOff>
      <xdr:row>6</xdr:row>
      <xdr:rowOff>41910</xdr:rowOff>
    </xdr:from>
    <xdr:to>
      <xdr:col>11</xdr:col>
      <xdr:colOff>236220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860004-EE58-7E91-1369-709C8052C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205740</xdr:colOff>
      <xdr:row>1</xdr:row>
      <xdr:rowOff>72390</xdr:rowOff>
    </xdr:from>
    <xdr:to>
      <xdr:col>12</xdr:col>
      <xdr:colOff>510540</xdr:colOff>
      <xdr:row>16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42BE44-C24D-B7AE-598E-01F191F20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5</xdr:row>
      <xdr:rowOff>11430</xdr:rowOff>
    </xdr:from>
    <xdr:to>
      <xdr:col>11</xdr:col>
      <xdr:colOff>358140</xdr:colOff>
      <xdr:row>20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C023FF-F855-FC25-91A4-32EAC4C18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160020</xdr:colOff>
      <xdr:row>14</xdr:row>
      <xdr:rowOff>361950</xdr:rowOff>
    </xdr:from>
    <xdr:to>
      <xdr:col>18</xdr:col>
      <xdr:colOff>464820</xdr:colOff>
      <xdr:row>27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25B412-E646-F1A1-816D-4ABF58AAEF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u Kumari" refreshedDate="45944.837674074071" createdVersion="8" refreshedVersion="8" minRefreshableVersion="3" recordCount="187" xr:uid="{5509B4E8-E43E-4E0D-89B6-8B29A2190EB0}">
  <cacheSource type="worksheet">
    <worksheetSource ref="A1:N188" sheet="WORK2"/>
  </cacheSource>
  <cacheFields count="17">
    <cacheField name="Country/Region" numFmtId="0">
      <sharedItems count="187">
        <s v="Afghanistan"/>
        <s v="Albania"/>
        <s v="Algeria"/>
        <s v="Andorra"/>
        <s v="Angola"/>
        <s v="Antigua and Barbuda"/>
        <s v="Argentina"/>
        <s v="Armeni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hutan"/>
        <s v="Bolivia"/>
        <s v="Bosnia and Herzegovina"/>
        <s v="Botswana"/>
        <s v="Brazil"/>
        <s v="Brunei"/>
        <s v="Bulgaria"/>
        <s v="Burkina Faso"/>
        <s v="Myanmar"/>
        <s v="Burundi"/>
        <s v="Cabo Verde"/>
        <s v="Cambodia"/>
        <s v="Cameroon"/>
        <s v="Canada"/>
        <s v="Central African Republic"/>
        <s v="Chad"/>
        <s v="Chile"/>
        <s v="China"/>
        <s v="Colombia"/>
        <s v="Comoros"/>
        <s v="Congo (Brazzaville)"/>
        <s v="Congo (Kinshasa)"/>
        <s v="Costa Rica"/>
        <s v="Cote d'Ivoire"/>
        <s v="Croatia"/>
        <s v="Cuba"/>
        <s v="Cyprus"/>
        <s v="Czechia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swatini"/>
        <s v="Ethiopia"/>
        <s v="Fiji"/>
        <s v="Finland"/>
        <s v="France"/>
        <s v="Gabon"/>
        <s v="Gambia"/>
        <s v="Georgia"/>
        <s v="Germany"/>
        <s v="Ghana"/>
        <s v="Greece"/>
        <s v="Greenland"/>
        <s v="Grenada"/>
        <s v="Guatemala"/>
        <s v="Guinea"/>
        <s v="Guinea-Bissau"/>
        <s v="Guyana"/>
        <s v="Haiti"/>
        <s v="Holy See"/>
        <s v="Honduras"/>
        <s v="Hungary"/>
        <s v="Iceland"/>
        <s v="India"/>
        <s v="Indonesia"/>
        <s v="Iran"/>
        <s v="Iraq"/>
        <s v="Ireland"/>
        <s v="Israel"/>
        <s v="Italy"/>
        <s v="Jamaica"/>
        <s v="Japan"/>
        <s v="Jordan"/>
        <s v="Kazakhstan"/>
        <s v="Kenya"/>
        <s v="Kosovo"/>
        <s v="Kuwait"/>
        <s v="Kyrgyzstan"/>
        <s v="Laos"/>
        <s v="Latvia"/>
        <s v="Lebanon"/>
        <s v="Lesotho"/>
        <s v="Liberia"/>
        <s v="Libya"/>
        <s v="Liechtenstein"/>
        <s v="Lithuania"/>
        <s v="Luxembourg"/>
        <s v="Madagascar"/>
        <s v="Malawi"/>
        <s v="Malaysia"/>
        <s v="Maldives"/>
        <s v="Mali"/>
        <s v="Malta"/>
        <s v="Mauritania"/>
        <s v="Mauritius"/>
        <s v="Mexico"/>
        <s v="Moldova"/>
        <s v="Monaco"/>
        <s v="Mongolia"/>
        <s v="Montenegro"/>
        <s v="Morocco"/>
        <s v="Mozambique"/>
        <s v="Namibia"/>
        <s v="Nepal"/>
        <s v="Netherlands"/>
        <s v="New Zealand"/>
        <s v="Nicaragua"/>
        <s v="Niger"/>
        <s v="Nigeria"/>
        <s v="North Macedonia"/>
        <s v="Norway"/>
        <s v="Oman"/>
        <s v="Pakistan"/>
        <s v="Panama"/>
        <s v="Papua New Guinea"/>
        <s v="Paraguay"/>
        <s v="Peru"/>
        <s v="Philippines"/>
        <s v="Poland"/>
        <s v="Portugal"/>
        <s v="Qatar"/>
        <s v="Romania"/>
        <s v="Russia"/>
        <s v="Rwanda"/>
        <s v="Saint Kitts and Nevis"/>
        <s v="Saint Lucia"/>
        <s v="Saint Vincent and the Grenadines"/>
        <s v="San Marino"/>
        <s v="Sao Tome and Principe"/>
        <s v="Saudi Arabia"/>
        <s v="Senegal"/>
        <s v="Serbia"/>
        <s v="Seychelles"/>
        <s v="Sierra Leone"/>
        <s v="Singapore"/>
        <s v="Slovakia"/>
        <s v="Slovenia"/>
        <s v="Somalia"/>
        <s v="South Africa"/>
        <s v="South Korea"/>
        <s v="South Sudan"/>
        <s v="Spain"/>
        <s v="Sri Lanka"/>
        <s v="Sudan"/>
        <s v="Suriname"/>
        <s v="Sweden"/>
        <s v="Switzerland"/>
        <s v="Syria"/>
        <s v="Taiwan"/>
        <s v="Tajikistan"/>
        <s v="Tanzania"/>
        <s v="Thailand"/>
        <s v="Timor-Leste"/>
        <s v="Togo"/>
        <s v="Trinidad and Tobago"/>
        <s v="Tunisia"/>
        <s v="Turkey"/>
        <s v="US"/>
        <s v="Uganda"/>
        <s v="Ukraine"/>
        <s v="United Arab Emirates"/>
        <s v="United Kingdom"/>
        <s v="Uruguay"/>
        <s v="Uzbekistan"/>
        <s v="Venezuela"/>
        <s v="Vietnam"/>
        <s v="West Bank and Gaza"/>
        <s v="Western Sahara"/>
        <s v="Yemen"/>
        <s v="Zambia"/>
        <s v="Zimbabwe"/>
      </sharedItems>
    </cacheField>
    <cacheField name="Confirmed" numFmtId="0">
      <sharedItems containsMixedTypes="1" containsNumber="1" containsInteger="1" minValue="10" maxValue="4290259" count="184">
        <s v="36263"/>
        <n v="4880"/>
        <n v="27973"/>
        <n v="907"/>
        <n v="950"/>
        <n v="86"/>
        <n v="167416"/>
        <n v="37390"/>
        <n v="15303"/>
        <n v="20558"/>
        <n v="30446"/>
        <n v="382"/>
        <n v="39482"/>
        <n v="226225"/>
        <n v="110"/>
        <n v="67251"/>
        <n v="66428"/>
        <n v="48"/>
        <n v="1770"/>
        <n v="99"/>
        <n v="71181"/>
        <n v="10498"/>
        <n v="739"/>
        <n v="2442375"/>
        <n v="141"/>
        <n v="10621"/>
        <n v="1100"/>
        <n v="350"/>
        <n v="378"/>
        <n v="2328"/>
        <n v="226"/>
        <n v="17110"/>
        <n v="116458"/>
        <n v="4599"/>
        <n v="922"/>
        <n v="347923"/>
        <n v="86783"/>
        <n v="257101"/>
        <n v="354"/>
        <n v="3200"/>
        <n v="8844"/>
        <n v="15841"/>
        <n v="15655"/>
        <n v="4881"/>
        <n v="2532"/>
        <n v="1060"/>
        <n v="15516"/>
        <n v="13761"/>
        <n v="5059"/>
        <n v="18"/>
        <n v="64156"/>
        <n v="81161"/>
        <n v="92482"/>
        <n v="15035"/>
        <n v="3071"/>
        <n v="265"/>
        <n v="2034"/>
        <n v="2316"/>
        <n v="14547"/>
        <n v="27"/>
        <n v="7398"/>
        <n v="220352"/>
        <n v="7189"/>
        <n v="326"/>
        <n v="1137"/>
        <n v="207112"/>
        <n v="33624"/>
        <n v="4227"/>
        <n v="14"/>
        <n v="23"/>
        <n v="45309"/>
        <n v="7055"/>
        <n v="1954"/>
        <n v="389"/>
        <n v="7340"/>
        <n v="12"/>
        <n v="39741"/>
        <n v="4448"/>
        <n v="1854"/>
        <n v="1480073"/>
        <n v="100303"/>
        <n v="293606"/>
        <n v="112585"/>
        <n v="25892"/>
        <n v="63985"/>
        <n v="246286"/>
        <n v="853"/>
        <n v="31142"/>
        <n v="1176"/>
        <n v="84648"/>
        <n v="17975"/>
        <n v="7413"/>
        <n v="64379"/>
        <n v="33296"/>
        <n v="20"/>
        <n v="1219"/>
        <n v="3882"/>
        <n v="505"/>
        <n v="1167"/>
        <n v="2827"/>
        <n v="2019"/>
        <n v="6321"/>
        <n v="9690"/>
        <n v="3664"/>
        <n v="8904"/>
        <n v="3369"/>
        <n v="2513"/>
        <n v="701"/>
        <n v="6208"/>
        <n v="344"/>
        <n v="395489"/>
        <n v="23154"/>
        <n v="116"/>
        <n v="289"/>
        <n v="2893"/>
        <n v="20887"/>
        <n v="1701"/>
        <n v="1843"/>
        <n v="18752"/>
        <n v="53413"/>
        <n v="1557"/>
        <n v="3439"/>
        <n v="1132"/>
        <n v="41180"/>
        <n v="10213"/>
        <n v="9132"/>
        <n v="77058"/>
        <n v="274289"/>
        <n v="61442"/>
        <n v="62"/>
        <n v="4548"/>
        <n v="389717"/>
        <n v="82040"/>
        <n v="43402"/>
        <n v="50299"/>
        <n v="109597"/>
        <n v="45902"/>
        <n v="816680"/>
        <n v="1879"/>
        <n v="17"/>
        <n v="24"/>
        <n v="52"/>
        <n v="699"/>
        <n v="865"/>
        <n v="268934"/>
        <n v="9764"/>
        <n v="24141"/>
        <n v="114"/>
        <n v="1783"/>
        <n v="50838"/>
        <n v="2181"/>
        <n v="2087"/>
        <n v="3196"/>
        <n v="452529"/>
        <n v="14203"/>
        <n v="2305"/>
        <n v="272421"/>
        <n v="2805"/>
        <n v="11424"/>
        <n v="1483"/>
        <n v="79395"/>
        <n v="34477"/>
        <n v="674"/>
        <n v="462"/>
        <n v="7235"/>
        <n v="509"/>
        <n v="3297"/>
        <n v="874"/>
        <n v="148"/>
        <n v="1455"/>
        <n v="227019"/>
        <n v="4290259"/>
        <n v="1128"/>
        <n v="67096"/>
        <n v="59177"/>
        <n v="301708"/>
        <n v="1202"/>
        <n v="21209"/>
        <n v="15988"/>
        <n v="431"/>
        <n v="10"/>
        <n v="1691"/>
        <n v="4552"/>
        <n v="2704"/>
      </sharedItems>
    </cacheField>
    <cacheField name="Deaths" numFmtId="0">
      <sharedItems containsMixedTypes="1" containsNumber="1" containsInteger="1" minValue="0" maxValue="148011" count="150">
        <s v="1269"/>
        <n v="144"/>
        <n v="1163"/>
        <n v="52"/>
        <n v="41"/>
        <n v="3"/>
        <n v="3059"/>
        <n v="711"/>
        <n v="167"/>
        <n v="713"/>
        <n v="423"/>
        <n v="11"/>
        <n v="141"/>
        <n v="2965"/>
        <n v="7"/>
        <n v="538"/>
        <n v="9822"/>
        <n v="2"/>
        <n v="35"/>
        <n v="0"/>
        <n v="2647"/>
        <n v="294"/>
        <n v="87618"/>
        <n v="347"/>
        <n v="53"/>
        <n v="6"/>
        <n v="1"/>
        <n v="22"/>
        <n v="391"/>
        <n v="8944"/>
        <n v="59"/>
        <n v="75"/>
        <n v="9187"/>
        <n v="4656"/>
        <n v="8777"/>
        <n v="54"/>
        <n v="208"/>
        <n v="115"/>
        <n v="96"/>
        <n v="139"/>
        <n v="87"/>
        <n v="19"/>
        <n v="373"/>
        <n v="613"/>
        <n v="58"/>
        <n v="1083"/>
        <n v="5532"/>
        <n v="4652"/>
        <n v="408"/>
        <n v="51"/>
        <n v="69"/>
        <n v="34"/>
        <n v="228"/>
        <n v="329"/>
        <n v="30212"/>
        <n v="49"/>
        <n v="8"/>
        <n v="16"/>
        <n v="9125"/>
        <n v="168"/>
        <n v="202"/>
        <n v="1761"/>
        <n v="45"/>
        <n v="26"/>
        <n v="20"/>
        <n v="158"/>
        <n v="1166"/>
        <n v="596"/>
        <n v="10"/>
        <n v="33408"/>
        <n v="4838"/>
        <n v="15912"/>
        <n v="4458"/>
        <n v="1764"/>
        <n v="474"/>
        <n v="35112"/>
        <n v="998"/>
        <n v="585"/>
        <n v="285"/>
        <n v="185"/>
        <n v="438"/>
        <n v="1301"/>
        <n v="31"/>
        <n v="12"/>
        <n v="72"/>
        <n v="64"/>
        <n v="80"/>
        <n v="112"/>
        <n v="91"/>
        <n v="99"/>
        <n v="124"/>
        <n v="15"/>
        <n v="9"/>
        <n v="156"/>
        <n v="44022"/>
        <n v="748"/>
        <n v="4"/>
        <n v="316"/>
        <n v="48"/>
        <n v="6160"/>
        <n v="108"/>
        <n v="860"/>
        <n v="466"/>
        <n v="255"/>
        <n v="393"/>
        <n v="5842"/>
        <n v="1322"/>
        <n v="43"/>
        <n v="18418"/>
        <n v="1945"/>
        <n v="1676"/>
        <n v="1719"/>
        <n v="165"/>
        <n v="2206"/>
        <n v="13334"/>
        <n v="5"/>
        <n v="42"/>
        <n v="14"/>
        <n v="2760"/>
        <n v="194"/>
        <n v="543"/>
        <n v="66"/>
        <n v="27"/>
        <n v="28"/>
        <n v="116"/>
        <n v="93"/>
        <n v="7067"/>
        <n v="300"/>
        <n v="46"/>
        <n v="28432"/>
        <n v="720"/>
        <n v="24"/>
        <n v="5700"/>
        <n v="1978"/>
        <n v="40"/>
        <n v="60"/>
        <n v="21"/>
        <n v="18"/>
        <n v="50"/>
        <n v="5630"/>
        <n v="148011"/>
        <n v="1636"/>
        <n v="345"/>
        <n v="45844"/>
        <n v="121"/>
        <n v="146"/>
        <n v="78"/>
        <n v="483"/>
        <n v="140"/>
        <n v="36"/>
      </sharedItems>
    </cacheField>
    <cacheField name="Recovered" numFmtId="0">
      <sharedItems containsMixedTypes="1" containsNumber="1" containsInteger="1" minValue="0" maxValue="1846641" count="178">
        <s v="25198"/>
        <n v="2745"/>
        <n v="18837"/>
        <n v="803"/>
        <n v="242"/>
        <n v="65"/>
        <n v="72575"/>
        <n v="26665"/>
        <n v="9311"/>
        <n v="18246"/>
        <n v="23242"/>
        <n v="91"/>
        <n v="36110"/>
        <n v="125683"/>
        <n v="94"/>
        <n v="60492"/>
        <n v="17452"/>
        <n v="26"/>
        <n v="1036"/>
        <n v="86"/>
        <n v="21478"/>
        <n v="4930"/>
        <n v="63"/>
        <n v="1846641"/>
        <n v="138"/>
        <n v="5585"/>
        <n v="926"/>
        <n v="292"/>
        <n v="301"/>
        <n v="1550"/>
        <n v="147"/>
        <n v="14539"/>
        <n v="0"/>
        <n v="1546"/>
        <n v="810"/>
        <n v="319954"/>
        <n v="78869"/>
        <n v="131161"/>
        <n v="328"/>
        <n v="829"/>
        <n v="5700"/>
        <n v="3824"/>
        <n v="10361"/>
        <n v="3936"/>
        <n v="2351"/>
        <n v="852"/>
        <n v="11428"/>
        <n v="12605"/>
        <n v="4977"/>
        <n v="18"/>
        <n v="30204"/>
        <n v="34896"/>
        <n v="34838"/>
        <n v="7778"/>
        <n v="842"/>
        <n v="191"/>
        <n v="1923"/>
        <n v="1025"/>
        <n v="6386"/>
        <n v="6920"/>
        <n v="81212"/>
        <n v="4682"/>
        <n v="66"/>
        <n v="922"/>
        <n v="190314"/>
        <n v="29801"/>
        <n v="1374"/>
        <n v="13"/>
        <n v="23"/>
        <n v="32455"/>
        <n v="6257"/>
        <n v="181"/>
        <n v="4365"/>
        <n v="12"/>
        <n v="5039"/>
        <n v="3329"/>
        <n v="1823"/>
        <n v="951166"/>
        <n v="58173"/>
        <n v="255144"/>
        <n v="77144"/>
        <n v="23364"/>
        <n v="27133"/>
        <n v="198593"/>
        <n v="714"/>
        <n v="21970"/>
        <n v="1041"/>
        <n v="54404"/>
        <n v="7833"/>
        <n v="4027"/>
        <n v="55057"/>
        <n v="21205"/>
        <n v="19"/>
        <n v="1045"/>
        <n v="1709"/>
        <n v="128"/>
        <n v="646"/>
        <n v="577"/>
        <n v="81"/>
        <n v="1620"/>
        <n v="4825"/>
        <n v="6260"/>
        <n v="1645"/>
        <n v="8601"/>
        <n v="2547"/>
        <n v="1913"/>
        <n v="665"/>
        <n v="4653"/>
        <n v="332"/>
        <n v="303810"/>
        <n v="16154"/>
        <n v="104"/>
        <n v="222"/>
        <n v="809"/>
        <n v="16553"/>
        <n v="101"/>
        <n v="13754"/>
        <n v="189"/>
        <n v="1514"/>
        <n v="2492"/>
        <n v="1027"/>
        <n v="18203"/>
        <n v="5564"/>
        <n v="8752"/>
        <n v="57028"/>
        <n v="241026"/>
        <n v="35086"/>
        <n v="11"/>
        <n v="2905"/>
        <n v="272547"/>
        <n v="26446"/>
        <n v="32856"/>
        <n v="35375"/>
        <n v="106328"/>
        <n v="25794"/>
        <n v="602249"/>
        <n v="975"/>
        <n v="15"/>
        <n v="22"/>
        <n v="39"/>
        <n v="657"/>
        <n v="734"/>
        <n v="222936"/>
        <n v="6477"/>
        <n v="1317"/>
        <n v="45692"/>
        <n v="1616"/>
        <n v="1733"/>
        <n v="1543"/>
        <n v="274925"/>
        <n v="13007"/>
        <n v="1175"/>
        <n v="150376"/>
        <n v="2121"/>
        <n v="5939"/>
        <n v="925"/>
        <n v="30900"/>
        <n v="440"/>
        <n v="6028"/>
        <n v="183"/>
        <n v="3111"/>
        <n v="607"/>
        <n v="1157"/>
        <n v="210469"/>
        <n v="1325804"/>
        <n v="986"/>
        <n v="37202"/>
        <n v="52510"/>
        <n v="1437"/>
        <n v="951"/>
        <n v="11674"/>
        <n v="9959"/>
        <n v="365"/>
        <n v="3752"/>
        <n v="8"/>
        <n v="833"/>
        <n v="2815"/>
        <n v="542"/>
      </sharedItems>
    </cacheField>
    <cacheField name="Active" numFmtId="0">
      <sharedItems containsMixedTypes="1" containsNumber="1" containsInteger="1" minValue="0" maxValue="2816444" count="173">
        <s v="9796"/>
        <n v="1991"/>
        <n v="7973"/>
        <n v="52"/>
        <n v="667"/>
        <n v="18"/>
        <n v="91782"/>
        <n v="10014"/>
        <n v="5825"/>
        <n v="1599"/>
        <n v="6781"/>
        <n v="280"/>
        <n v="3231"/>
        <n v="97577"/>
        <n v="9"/>
        <n v="6221"/>
        <n v="39154"/>
        <n v="20"/>
        <n v="699"/>
        <n v="13"/>
        <n v="47056"/>
        <n v="5274"/>
        <n v="674"/>
        <n v="508116"/>
        <n v="0"/>
        <n v="4689"/>
        <n v="121"/>
        <n v="76"/>
        <n v="756"/>
        <n v="79"/>
        <n v="2180"/>
        <n v="107514"/>
        <n v="2994"/>
        <n v="37"/>
        <n v="18782"/>
        <n v="3258"/>
        <n v="117163"/>
        <n v="19"/>
        <n v="2317"/>
        <n v="2936"/>
        <n v="11902"/>
        <n v="5198"/>
        <n v="806"/>
        <n v="94"/>
        <n v="189"/>
        <n v="3715"/>
        <n v="543"/>
        <n v="24"/>
        <n v="32869"/>
        <n v="40733"/>
        <n v="52992"/>
        <n v="6849"/>
        <n v="2178"/>
        <n v="74"/>
        <n v="42"/>
        <n v="1257"/>
        <n v="7933"/>
        <n v="149"/>
        <n v="108928"/>
        <n v="2458"/>
        <n v="252"/>
        <n v="199"/>
        <n v="7673"/>
        <n v="3655"/>
        <n v="2651"/>
        <n v="1"/>
        <n v="11093"/>
        <n v="753"/>
        <n v="1125"/>
        <n v="188"/>
        <n v="2817"/>
        <n v="33536"/>
        <n v="523"/>
        <n v="21"/>
        <n v="495499"/>
        <n v="37292"/>
        <n v="22550"/>
        <n v="30983"/>
        <n v="764"/>
        <n v="36378"/>
        <n v="12581"/>
        <n v="129"/>
        <n v="8174"/>
        <n v="124"/>
        <n v="29659"/>
        <n v="9857"/>
        <n v="3201"/>
        <n v="8884"/>
        <n v="10790"/>
        <n v="143"/>
        <n v="2122"/>
        <n v="365"/>
        <n v="449"/>
        <n v="2186"/>
        <n v="4"/>
        <n v="319"/>
        <n v="1384"/>
        <n v="3339"/>
        <n v="1920"/>
        <n v="179"/>
        <n v="807"/>
        <n v="476"/>
        <n v="27"/>
        <n v="1399"/>
        <n v="2"/>
        <n v="47657"/>
        <n v="6252"/>
        <n v="8"/>
        <n v="67"/>
        <n v="2039"/>
        <n v="4018"/>
        <n v="1690"/>
        <n v="1734"/>
        <n v="4950"/>
        <n v="47064"/>
        <n v="839"/>
        <n v="36"/>
        <n v="22117"/>
        <n v="4183"/>
        <n v="125"/>
        <n v="19637"/>
        <n v="27421"/>
        <n v="25034"/>
        <n v="51"/>
        <n v="1600"/>
        <n v="98752"/>
        <n v="53649"/>
        <n v="8870"/>
        <n v="13205"/>
        <n v="3104"/>
        <n v="17902"/>
        <n v="201097"/>
        <n v="899"/>
        <n v="117"/>
        <n v="43238"/>
        <n v="3093"/>
        <n v="23598"/>
        <n v="75"/>
        <n v="400"/>
        <n v="5119"/>
        <n v="537"/>
        <n v="238"/>
        <n v="1560"/>
        <n v="170537"/>
        <n v="896"/>
        <n v="1084"/>
        <n v="93613"/>
        <n v="673"/>
        <n v="4765"/>
        <n v="534"/>
        <n v="73695"/>
        <n v="634"/>
        <n v="15"/>
        <n v="1147"/>
        <n v="305"/>
        <n v="128"/>
        <n v="249"/>
        <n v="12"/>
        <n v="248"/>
        <n v="10920"/>
        <n v="2816444"/>
        <n v="140"/>
        <n v="28258"/>
        <n v="6322"/>
        <n v="254427"/>
        <n v="216"/>
        <n v="9414"/>
        <n v="5883"/>
        <n v="66"/>
        <n v="6791"/>
        <n v="375"/>
        <n v="1597"/>
        <n v="2126"/>
      </sharedItems>
    </cacheField>
    <cacheField name="Population" numFmtId="0">
      <sharedItems containsMixedTypes="1" containsNumber="1" containsInteger="1" minValue="528" maxValue="1411778724"/>
    </cacheField>
    <cacheField name="Continent" numFmtId="0">
      <sharedItems count="6">
        <s v="Asia"/>
        <s v="Europe"/>
        <s v="Africa"/>
        <s v="North America"/>
        <s v="South America"/>
        <s v="Australia/Oceania"/>
      </sharedItems>
    </cacheField>
    <cacheField name="Date of First Case" numFmtId="166">
      <sharedItems containsSemiMixedTypes="0" containsNonDate="0" containsDate="1" containsString="0" minDate="2019-11-17T00:00:00" maxDate="2020-05-14T00:00:00" count="57">
        <d v="2020-02-24T00:00:00"/>
        <d v="2020-03-09T00:00:00"/>
        <d v="2020-02-25T00:00:00"/>
        <d v="2020-03-02T00:00:00"/>
        <d v="2020-03-21T00:00:00"/>
        <d v="2020-03-13T00:00:00"/>
        <d v="2020-03-03T00:00:00"/>
        <d v="2020-03-01T00:00:00"/>
        <d v="2020-01-25T00:00:00"/>
        <d v="2020-02-28T00:00:00"/>
        <d v="2020-03-15T00:00:00"/>
        <d v="2020-02-21T00:00:00"/>
        <d v="2020-03-08T00:00:00"/>
        <d v="2020-03-17T00:00:00"/>
        <d v="2020-02-04T00:00:00"/>
        <d v="2020-03-23T00:00:00"/>
        <d v="2020-03-16T00:00:00"/>
        <d v="2020-03-06T00:00:00"/>
        <d v="2020-03-10T00:00:00"/>
        <d v="2020-03-05T00:00:00"/>
        <d v="2020-03-30T00:00:00"/>
        <d v="2020-02-26T00:00:00"/>
        <d v="2020-03-31T00:00:00"/>
        <d v="2020-03-20T00:00:00"/>
        <d v="2020-01-27T00:00:00"/>
        <d v="2020-03-14T00:00:00"/>
        <d v="2020-03-19T00:00:00"/>
        <d v="2019-11-17T00:00:00"/>
        <d v="2020-04-30T00:00:00"/>
        <d v="2020-03-11T00:00:00"/>
        <d v="2020-02-27T00:00:00"/>
        <d v="2020-03-18T00:00:00"/>
        <d v="2020-03-22T00:00:00"/>
        <d v="2020-02-29T00:00:00"/>
        <d v="2020-02-14T00:00:00"/>
        <d v="2019-12-27T00:00:00"/>
        <d v="2020-03-12T00:00:00"/>
        <d v="2020-03-25T00:00:00"/>
        <d v="2020-03-04T00:00:00"/>
        <d v="2020-01-30T00:00:00"/>
        <d v="2020-02-19T00:00:00"/>
        <d v="2020-02-22T00:00:00"/>
        <d v="2020-01-31T00:00:00"/>
        <d v="2020-01-16T00:00:00"/>
        <d v="2020-03-24T00:00:00"/>
        <d v="2020-05-13T00:00:00"/>
        <d v="2020-04-01T00:00:00"/>
        <d v="2020-03-07T00:00:00"/>
        <d v="2020-01-13T00:00:00"/>
        <d v="2020-04-06T00:00:00"/>
        <d v="2020-01-23T00:00:00"/>
        <d v="2020-01-20T00:00:00"/>
        <d v="2020-04-05T00:00:00"/>
        <d v="2020-01-21T00:00:00"/>
        <d v="2020-01-29T00:00:00"/>
        <d v="2020-04-04T00:00:00"/>
        <d v="2020-04-10T00:00:00"/>
      </sharedItems>
      <fieldGroup par="16"/>
    </cacheField>
    <cacheField name="DEATH REATE" numFmtId="9">
      <sharedItems containsSemiMixedTypes="0" containsString="0" containsNumber="1" minValue="0" maxValue="0.28562980484920164"/>
    </cacheField>
    <cacheField name="RECOVERY RATE" numFmtId="9">
      <sharedItems containsSemiMixedTypes="0" containsString="0" containsNumber="1" minValue="0" maxValue="1"/>
    </cacheField>
    <cacheField name="INFECTION RATE" numFmtId="9">
      <sharedItems containsMixedTypes="1" containsNumber="1" minValue="2.7450845829187114E-6" maxValue="3.9032981278970584E-2"/>
    </cacheField>
    <cacheField name="CATEGORY(IFS ND OR) " numFmtId="0">
      <sharedItems/>
    </cacheField>
    <cacheField name="CATEGORY( IFS ND AND)" numFmtId="0">
      <sharedItems/>
    </cacheField>
    <cacheField name="ICON SET FOR DEATH CATEGORY" numFmtId="0">
      <sharedItems containsSemiMixedTypes="0" containsString="0" containsNumber="1" containsInteger="1" minValue="1" maxValue="3"/>
    </cacheField>
    <cacheField name="Months (Date of First Case)" numFmtId="0" databaseField="0">
      <fieldGroup base="7">
        <rangePr groupBy="months" startDate="2019-11-17T00:00:00" endDate="2020-05-14T00:00:00"/>
        <groupItems count="14">
          <s v="&lt;17-1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4-05-2020"/>
        </groupItems>
      </fieldGroup>
    </cacheField>
    <cacheField name="Quarters (Date of First Case)" numFmtId="0" databaseField="0">
      <fieldGroup base="7">
        <rangePr groupBy="quarters" startDate="2019-11-17T00:00:00" endDate="2020-05-14T00:00:00"/>
        <groupItems count="6">
          <s v="&lt;17-11-2019"/>
          <s v="Qtr1"/>
          <s v="Qtr2"/>
          <s v="Qtr3"/>
          <s v="Qtr4"/>
          <s v="&gt;14-05-2020"/>
        </groupItems>
      </fieldGroup>
    </cacheField>
    <cacheField name="Years (Date of First Case)" numFmtId="0" databaseField="0">
      <fieldGroup base="7">
        <rangePr groupBy="years" startDate="2019-11-17T00:00:00" endDate="2020-05-14T00:00:00"/>
        <groupItems count="4">
          <s v="&lt;17-11-2019"/>
          <s v="2019"/>
          <s v="2020"/>
          <s v="&gt;14-05-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">
  <r>
    <x v="0"/>
    <x v="0"/>
    <x v="0"/>
    <x v="0"/>
    <x v="0"/>
    <s v="39009447"/>
    <x v="0"/>
    <x v="0"/>
    <n v="3.4994346854920991E-2"/>
    <n v="0.69486804732096075"/>
    <n v="9.2959533622714516E-4"/>
    <s v="MODERATE RISK"/>
    <s v="MODERATE RISK"/>
    <n v="2"/>
  </r>
  <r>
    <x v="1"/>
    <x v="1"/>
    <x v="1"/>
    <x v="1"/>
    <x v="1"/>
    <n v="2877470"/>
    <x v="1"/>
    <x v="1"/>
    <n v="2.9508196721311476E-2"/>
    <n v="0.5625"/>
    <n v="1.6959342755962703E-3"/>
    <s v="MODERATE RISK"/>
    <s v="MODERATE RISK"/>
    <n v="2"/>
  </r>
  <r>
    <x v="2"/>
    <x v="2"/>
    <x v="2"/>
    <x v="2"/>
    <x v="2"/>
    <n v="43926079"/>
    <x v="2"/>
    <x v="2"/>
    <n v="4.1575805240767885E-2"/>
    <n v="0.67339934937260926"/>
    <n v="6.3681987185790017E-4"/>
    <s v="MODERATE RISK"/>
    <s v="MODERATE RISK"/>
    <n v="2"/>
  </r>
  <r>
    <x v="3"/>
    <x v="3"/>
    <x v="3"/>
    <x v="3"/>
    <x v="3"/>
    <n v="77278"/>
    <x v="1"/>
    <x v="3"/>
    <n v="5.7331863285556783E-2"/>
    <n v="0.88533627342888643"/>
    <n v="1.1736846191671627E-2"/>
    <s v="HIGH RISK"/>
    <s v="HIGH RISK"/>
    <n v="3"/>
  </r>
  <r>
    <x v="4"/>
    <x v="4"/>
    <x v="4"/>
    <x v="4"/>
    <x v="4"/>
    <n v="32956300"/>
    <x v="2"/>
    <x v="4"/>
    <n v="4.3157894736842103E-2"/>
    <n v="0.25473684210526315"/>
    <n v="2.8826051468156317E-5"/>
    <s v="MODERATE RISK"/>
    <s v="MODERATE RISK"/>
    <n v="2"/>
  </r>
  <r>
    <x v="5"/>
    <x v="5"/>
    <x v="5"/>
    <x v="5"/>
    <x v="5"/>
    <n v="98010"/>
    <x v="3"/>
    <x v="5"/>
    <n v="3.4883720930232558E-2"/>
    <n v="0.7558139534883721"/>
    <n v="8.7746148352208962E-4"/>
    <s v="MODERATE RISK"/>
    <s v="MODERATE RISK"/>
    <n v="2"/>
  </r>
  <r>
    <x v="6"/>
    <x v="6"/>
    <x v="6"/>
    <x v="6"/>
    <x v="6"/>
    <n v="45236884"/>
    <x v="4"/>
    <x v="6"/>
    <n v="1.8271849763463469E-2"/>
    <n v="0.43350097959573758"/>
    <n v="3.7008738267649026E-3"/>
    <s v="LOW RISK"/>
    <s v="LOW RISK"/>
    <n v="1"/>
  </r>
  <r>
    <x v="7"/>
    <x v="7"/>
    <x v="7"/>
    <x v="7"/>
    <x v="7"/>
    <n v="2963811"/>
    <x v="0"/>
    <x v="7"/>
    <n v="1.901577962021931E-2"/>
    <n v="0.71315859855576358"/>
    <n v="1.2615514282118529E-2"/>
    <s v="LOW RISK"/>
    <s v="LOW RISK"/>
    <n v="1"/>
  </r>
  <r>
    <x v="8"/>
    <x v="8"/>
    <x v="8"/>
    <x v="8"/>
    <x v="8"/>
    <n v="25528864"/>
    <x v="5"/>
    <x v="8"/>
    <n v="1.0912892896817617E-2"/>
    <n v="0.60844278899562176"/>
    <n v="5.9943912897965216E-4"/>
    <s v="LOW RISK"/>
    <s v="LOW RISK"/>
    <n v="1"/>
  </r>
  <r>
    <x v="9"/>
    <x v="9"/>
    <x v="9"/>
    <x v="9"/>
    <x v="9"/>
    <n v="9011577"/>
    <x v="1"/>
    <x v="2"/>
    <n v="3.4682362097480303E-2"/>
    <n v="0.88753769821967121"/>
    <n v="2.2812877257776302E-3"/>
    <s v="MODERATE RISK"/>
    <s v="MODERATE RISK"/>
    <n v="2"/>
  </r>
  <r>
    <x v="10"/>
    <x v="10"/>
    <x v="10"/>
    <x v="10"/>
    <x v="10"/>
    <n v="10148243"/>
    <x v="0"/>
    <x v="9"/>
    <n v="1.389345069959929E-2"/>
    <n v="0.76338435262431847"/>
    <n v="3.0001252433549336E-3"/>
    <s v="LOW RISK"/>
    <s v="LOW RISK"/>
    <n v="1"/>
  </r>
  <r>
    <x v="11"/>
    <x v="11"/>
    <x v="11"/>
    <x v="11"/>
    <x v="11"/>
    <n v="393616"/>
    <x v="3"/>
    <x v="10"/>
    <n v="2.8795811518324606E-2"/>
    <n v="0.23821989528795812"/>
    <n v="9.7048900451201169E-4"/>
    <s v="MODERATE RISK"/>
    <s v="MODERATE RISK"/>
    <n v="2"/>
  </r>
  <r>
    <x v="12"/>
    <x v="12"/>
    <x v="12"/>
    <x v="12"/>
    <x v="12"/>
    <n v="1706669"/>
    <x v="0"/>
    <x v="11"/>
    <n v="3.5712476571602247E-3"/>
    <n v="0.91459399219897675"/>
    <n v="2.3133952746548978E-2"/>
    <s v="LOW RISK"/>
    <s v="LOW RISK"/>
    <n v="1"/>
  </r>
  <r>
    <x v="13"/>
    <x v="13"/>
    <x v="13"/>
    <x v="13"/>
    <x v="13"/>
    <n v="164851401"/>
    <x v="0"/>
    <x v="12"/>
    <n v="1.3106420598961211E-2"/>
    <n v="0.55556636092385903"/>
    <n v="1.3722964962851604E-3"/>
    <s v="LOW RISK"/>
    <s v="LOW RISK"/>
    <n v="1"/>
  </r>
  <r>
    <x v="14"/>
    <x v="14"/>
    <x v="14"/>
    <x v="14"/>
    <x v="14"/>
    <n v="287411"/>
    <x v="3"/>
    <x v="13"/>
    <n v="6.363636363636363E-2"/>
    <n v="0.8545454545454545"/>
    <n v="3.8272717467320317E-4"/>
    <s v="HIGH RISK"/>
    <s v="HIGH RISK"/>
    <n v="3"/>
  </r>
  <r>
    <x v="15"/>
    <x v="15"/>
    <x v="15"/>
    <x v="15"/>
    <x v="15"/>
    <n v="9449001"/>
    <x v="1"/>
    <x v="9"/>
    <n v="7.9998810426610764E-3"/>
    <n v="0.89949591827630815"/>
    <n v="7.1172603326002401E-3"/>
    <s v="LOW RISK"/>
    <s v="LOW RISK"/>
    <n v="1"/>
  </r>
  <r>
    <x v="16"/>
    <x v="16"/>
    <x v="16"/>
    <x v="16"/>
    <x v="16"/>
    <n v="11594739"/>
    <x v="1"/>
    <x v="14"/>
    <n v="0.14785933642439936"/>
    <n v="0.26272053953152286"/>
    <n v="5.7291500912612179E-3"/>
    <s v="HIGH RISK"/>
    <s v="HIGH RISK"/>
    <n v="3"/>
  </r>
  <r>
    <x v="17"/>
    <x v="17"/>
    <x v="17"/>
    <x v="17"/>
    <x v="17"/>
    <n v="398312"/>
    <x v="3"/>
    <x v="15"/>
    <n v="4.1666666666666664E-2"/>
    <n v="0.54166666666666663"/>
    <n v="1.2050854606439174E-4"/>
    <s v="MODERATE RISK"/>
    <s v="MODERATE RISK"/>
    <n v="2"/>
  </r>
  <r>
    <x v="18"/>
    <x v="18"/>
    <x v="18"/>
    <x v="18"/>
    <x v="18"/>
    <n v="12151976"/>
    <x v="2"/>
    <x v="16"/>
    <n v="1.977401129943503E-2"/>
    <n v="0.58531073446327686"/>
    <n v="1.4565532387489903E-4"/>
    <s v="LOW RISK"/>
    <s v="LOW RISK"/>
    <n v="1"/>
  </r>
  <r>
    <x v="19"/>
    <x v="19"/>
    <x v="19"/>
    <x v="19"/>
    <x v="19"/>
    <n v="772443"/>
    <x v="0"/>
    <x v="17"/>
    <n v="0"/>
    <n v="0.86868686868686873"/>
    <n v="1.2816479662577045E-4"/>
    <s v="LOW RISK"/>
    <s v="LOW RISK"/>
    <n v="1"/>
  </r>
  <r>
    <x v="20"/>
    <x v="20"/>
    <x v="20"/>
    <x v="20"/>
    <x v="20"/>
    <n v="11688459"/>
    <x v="4"/>
    <x v="18"/>
    <n v="3.7186889759907839E-2"/>
    <n v="0.30173782329554233"/>
    <n v="6.0898532475495704E-3"/>
    <s v="MODERATE RISK"/>
    <s v="MODERATE RISK"/>
    <n v="2"/>
  </r>
  <r>
    <x v="21"/>
    <x v="21"/>
    <x v="21"/>
    <x v="21"/>
    <x v="21"/>
    <n v="3278650"/>
    <x v="1"/>
    <x v="19"/>
    <n v="2.8005334349399887E-2"/>
    <n v="0.46961325966850831"/>
    <n v="3.2019276226495663E-3"/>
    <s v="MODERATE RISK"/>
    <s v="MODERATE RISK"/>
    <n v="2"/>
  </r>
  <r>
    <x v="22"/>
    <x v="22"/>
    <x v="17"/>
    <x v="22"/>
    <x v="22"/>
    <n v="2356075"/>
    <x v="2"/>
    <x v="20"/>
    <n v="2.7063599458728013E-3"/>
    <n v="8.5250338294993233E-2"/>
    <n v="3.1365724775314879E-4"/>
    <s v="LOW RISK"/>
    <s v="LOW RISK"/>
    <n v="1"/>
  </r>
  <r>
    <x v="23"/>
    <x v="23"/>
    <x v="22"/>
    <x v="23"/>
    <x v="23"/>
    <n v="212710692"/>
    <x v="4"/>
    <x v="21"/>
    <n v="3.5874097957930291E-2"/>
    <n v="0.75608413941348074"/>
    <n v="1.1482144959596107E-2"/>
    <s v="MODERATE RISK"/>
    <s v="MODERATE RISK"/>
    <n v="2"/>
  </r>
  <r>
    <x v="24"/>
    <x v="24"/>
    <x v="5"/>
    <x v="24"/>
    <x v="24"/>
    <n v="437893"/>
    <x v="0"/>
    <x v="1"/>
    <n v="2.1276595744680851E-2"/>
    <n v="0.97872340425531912"/>
    <n v="3.2199646945715047E-4"/>
    <s v="MODERATE RISK"/>
    <s v="MODERATE RISK"/>
    <n v="2"/>
  </r>
  <r>
    <x v="25"/>
    <x v="25"/>
    <x v="23"/>
    <x v="25"/>
    <x v="25"/>
    <n v="6942854"/>
    <x v="1"/>
    <x v="12"/>
    <n v="3.2671123246398641E-2"/>
    <n v="0.52584502400903865"/>
    <n v="1.5297743550418891E-3"/>
    <s v="MODERATE RISK"/>
    <s v="MODERATE RISK"/>
    <n v="2"/>
  </r>
  <r>
    <x v="26"/>
    <x v="26"/>
    <x v="24"/>
    <x v="26"/>
    <x v="26"/>
    <n v="20954852"/>
    <x v="2"/>
    <x v="1"/>
    <n v="4.818181818181818E-2"/>
    <n v="0.8418181818181818"/>
    <n v="5.2493809071044739E-5"/>
    <s v="MODERATE RISK"/>
    <s v="MODERATE RISK"/>
    <n v="2"/>
  </r>
  <r>
    <x v="27"/>
    <x v="27"/>
    <x v="25"/>
    <x v="27"/>
    <x v="3"/>
    <n v="54446389"/>
    <x v="0"/>
    <x v="15"/>
    <n v="1.7142857142857144E-2"/>
    <n v="0.8342857142857143"/>
    <n v="6.4283418318155129E-6"/>
    <s v="LOW RISK"/>
    <s v="LOW RISK"/>
    <n v="1"/>
  </r>
  <r>
    <x v="28"/>
    <x v="28"/>
    <x v="26"/>
    <x v="28"/>
    <x v="27"/>
    <n v="11922216"/>
    <x v="2"/>
    <x v="22"/>
    <n v="2.6455026455026454E-3"/>
    <n v="0.79629629629629628"/>
    <n v="3.1705515149197092E-5"/>
    <s v="LOW RISK"/>
    <s v="LOW RISK"/>
    <n v="1"/>
  </r>
  <r>
    <x v="29"/>
    <x v="29"/>
    <x v="27"/>
    <x v="29"/>
    <x v="28"/>
    <n v="556581"/>
    <x v="2"/>
    <x v="23"/>
    <n v="9.4501718213058413E-3"/>
    <n v="0.66580756013745701"/>
    <n v="4.1826796099759065E-3"/>
    <s v="LOW RISK"/>
    <s v="LOW RISK"/>
    <n v="1"/>
  </r>
  <r>
    <x v="30"/>
    <x v="30"/>
    <x v="19"/>
    <x v="30"/>
    <x v="29"/>
    <n v="16741375"/>
    <x v="0"/>
    <x v="24"/>
    <n v="0"/>
    <n v="0.65044247787610621"/>
    <n v="1.349948854260776E-5"/>
    <s v="LOW RISK"/>
    <s v="LOW RISK"/>
    <n v="1"/>
  </r>
  <r>
    <x v="31"/>
    <x v="31"/>
    <x v="28"/>
    <x v="31"/>
    <x v="30"/>
    <n v="26606188"/>
    <x v="2"/>
    <x v="17"/>
    <n v="2.2852133255406196E-2"/>
    <n v="0.84973699590882523"/>
    <n v="6.4308348118114476E-4"/>
    <s v="MODERATE RISK"/>
    <s v="MODERATE RISK"/>
    <n v="2"/>
  </r>
  <r>
    <x v="32"/>
    <x v="32"/>
    <x v="29"/>
    <x v="32"/>
    <x v="31"/>
    <n v="37775022"/>
    <x v="3"/>
    <x v="8"/>
    <n v="7.6800219821738305E-2"/>
    <n v="0"/>
    <n v="3.0829366558674672E-3"/>
    <s v="HIGH RISK"/>
    <s v="HIGH RISK"/>
    <n v="3"/>
  </r>
  <r>
    <x v="33"/>
    <x v="33"/>
    <x v="30"/>
    <x v="33"/>
    <x v="32"/>
    <n v="4837752"/>
    <x v="2"/>
    <x v="25"/>
    <n v="1.2828875842574472E-2"/>
    <n v="0.33616003479017176"/>
    <n v="9.5064815228229974E-4"/>
    <s v="LOW RISK"/>
    <s v="LOW RISK"/>
    <n v="1"/>
  </r>
  <r>
    <x v="34"/>
    <x v="34"/>
    <x v="31"/>
    <x v="34"/>
    <x v="33"/>
    <s v=" 17224679"/>
    <x v="2"/>
    <x v="26"/>
    <n v="8.1344902386117135E-2"/>
    <n v="0.87852494577006512"/>
    <e v="#VALUE!"/>
    <s v="HIGH RISK"/>
    <s v="HIGH RISK"/>
    <n v="3"/>
  </r>
  <r>
    <x v="35"/>
    <x v="35"/>
    <x v="32"/>
    <x v="35"/>
    <x v="34"/>
    <n v="19132514"/>
    <x v="4"/>
    <x v="6"/>
    <n v="2.6405267832250241E-2"/>
    <n v="0.91961152323933748"/>
    <n v="1.8184907639424697E-2"/>
    <s v="MODERATE RISK"/>
    <s v="MODERATE RISK"/>
    <n v="2"/>
  </r>
  <r>
    <x v="36"/>
    <x v="36"/>
    <x v="33"/>
    <x v="36"/>
    <x v="35"/>
    <n v="1411778724"/>
    <x v="2"/>
    <x v="27"/>
    <n v="5.365106069161011E-2"/>
    <n v="0.90880702441722461"/>
    <n v="6.1470681293536756E-5"/>
    <s v="HIGH RISK"/>
    <s v="HIGH RISK"/>
    <n v="3"/>
  </r>
  <r>
    <x v="37"/>
    <x v="37"/>
    <x v="34"/>
    <x v="37"/>
    <x v="36"/>
    <n v="50936262"/>
    <x v="4"/>
    <x v="17"/>
    <n v="3.4138334740043796E-2"/>
    <n v="0.51015359722443709"/>
    <n v="5.0475042711222119E-3"/>
    <s v="MODERATE RISK"/>
    <s v="MODERATE RISK"/>
    <n v="2"/>
  </r>
  <r>
    <x v="38"/>
    <x v="38"/>
    <x v="14"/>
    <x v="38"/>
    <x v="37"/>
    <n v="871326"/>
    <x v="2"/>
    <x v="28"/>
    <n v="1.977401129943503E-2"/>
    <n v="0.92655367231638419"/>
    <n v="4.0627732903643414E-4"/>
    <s v="LOW RISK"/>
    <s v="LOW RISK"/>
    <n v="1"/>
  </r>
  <r>
    <x v="39"/>
    <x v="39"/>
    <x v="35"/>
    <x v="39"/>
    <x v="38"/>
    <n v="5530506"/>
    <x v="2"/>
    <x v="25"/>
    <n v="1.6875000000000001E-2"/>
    <n v="0.25906249999999997"/>
    <n v="5.7860890124701071E-4"/>
    <s v="LOW RISK"/>
    <s v="LOW RISK"/>
    <n v="1"/>
  </r>
  <r>
    <x v="40"/>
    <x v="40"/>
    <x v="36"/>
    <x v="40"/>
    <x v="39"/>
    <n v="96076573"/>
    <x v="2"/>
    <x v="18"/>
    <n v="2.3518769787426504E-2"/>
    <n v="0.64450474898236088"/>
    <n v="9.2051576402501362E-5"/>
    <s v="MODERATE RISK"/>
    <s v="MODERATE RISK"/>
    <n v="2"/>
  </r>
  <r>
    <x v="41"/>
    <x v="41"/>
    <x v="37"/>
    <x v="41"/>
    <x v="40"/>
    <n v="5098730"/>
    <x v="3"/>
    <x v="17"/>
    <n v="7.2596426993245377E-3"/>
    <n v="0.24139890158449592"/>
    <n v="3.1068520984637352E-3"/>
    <s v="LOW RISK"/>
    <s v="LOW RISK"/>
    <n v="1"/>
  </r>
  <r>
    <x v="42"/>
    <x v="42"/>
    <x v="38"/>
    <x v="42"/>
    <x v="41"/>
    <n v="26172000"/>
    <x v="2"/>
    <x v="29"/>
    <n v="6.1322261258383902E-3"/>
    <n v="0.66183328010220377"/>
    <n v="5.9815833715421058E-4"/>
    <s v="LOW RISK"/>
    <s v="LOW RISK"/>
    <n v="1"/>
  </r>
  <r>
    <x v="43"/>
    <x v="43"/>
    <x v="39"/>
    <x v="43"/>
    <x v="42"/>
    <n v="4102577"/>
    <x v="1"/>
    <x v="2"/>
    <n v="2.8477770948576113E-2"/>
    <n v="0.80639213275968036"/>
    <n v="1.1897400097548444E-3"/>
    <s v="MODERATE RISK"/>
    <s v="MODERATE RISK"/>
    <n v="2"/>
  </r>
  <r>
    <x v="44"/>
    <x v="44"/>
    <x v="40"/>
    <x v="44"/>
    <x v="43"/>
    <n v="11325899"/>
    <x v="3"/>
    <x v="29"/>
    <n v="3.4360189573459717E-2"/>
    <n v="0.92851500789889418"/>
    <n v="2.2355841244920161E-4"/>
    <s v="MODERATE RISK"/>
    <s v="MODERATE RISK"/>
    <n v="2"/>
  </r>
  <r>
    <x v="45"/>
    <x v="45"/>
    <x v="41"/>
    <x v="45"/>
    <x v="44"/>
    <n v="1208238"/>
    <x v="0"/>
    <x v="1"/>
    <n v="1.7924528301886792E-2"/>
    <n v="0.80377358490566042"/>
    <n v="8.7731059609116749E-4"/>
    <s v="LOW RISK"/>
    <s v="LOW RISK"/>
    <n v="1"/>
  </r>
  <r>
    <x v="46"/>
    <x v="46"/>
    <x v="42"/>
    <x v="46"/>
    <x v="45"/>
    <n v="10711019"/>
    <x v="1"/>
    <x v="7"/>
    <n v="2.4039700953854087E-2"/>
    <n v="0.7365300335137922"/>
    <n v="1.4486016689915311E-3"/>
    <s v="MODERATE RISK"/>
    <s v="MODERATE RISK"/>
    <n v="2"/>
  </r>
  <r>
    <x v="47"/>
    <x v="47"/>
    <x v="43"/>
    <x v="47"/>
    <x v="46"/>
    <n v="5794279"/>
    <x v="1"/>
    <x v="30"/>
    <n v="4.454618123682872E-2"/>
    <n v="0.91599447714555626"/>
    <n v="2.3749287875160997E-3"/>
    <s v="MODERATE RISK"/>
    <s v="MODERATE RISK"/>
    <n v="2"/>
  </r>
  <r>
    <x v="48"/>
    <x v="48"/>
    <x v="44"/>
    <x v="48"/>
    <x v="47"/>
    <n v="989387"/>
    <x v="2"/>
    <x v="31"/>
    <n v="1.1464716347104172E-2"/>
    <n v="0.98379126309547338"/>
    <n v="5.1132671037723357E-3"/>
    <s v="LOW RISK"/>
    <s v="LOW RISK"/>
    <n v="1"/>
  </r>
  <r>
    <x v="49"/>
    <x v="49"/>
    <x v="19"/>
    <x v="49"/>
    <x v="24"/>
    <n v="72004"/>
    <x v="3"/>
    <x v="32"/>
    <n v="0"/>
    <n v="1"/>
    <n v="2.4998611188267316E-4"/>
    <s v="LOW RISK"/>
    <s v="LOW RISK"/>
    <n v="1"/>
  </r>
  <r>
    <x v="50"/>
    <x v="50"/>
    <x v="45"/>
    <x v="50"/>
    <x v="48"/>
    <n v="10858648"/>
    <x v="3"/>
    <x v="7"/>
    <n v="1.688072822495168E-2"/>
    <n v="0.47078994949809838"/>
    <n v="5.9082861881147638E-3"/>
    <s v="LOW RISK"/>
    <s v="LOW RISK"/>
    <n v="1"/>
  </r>
  <r>
    <x v="51"/>
    <x v="51"/>
    <x v="46"/>
    <x v="51"/>
    <x v="49"/>
    <n v="17668824"/>
    <x v="4"/>
    <x v="33"/>
    <n v="6.8160816155542689E-2"/>
    <n v="0.42996020256034301"/>
    <n v="4.5934579460410038E-3"/>
    <s v="HIGH RISK"/>
    <s v="HIGH RISK"/>
    <n v="3"/>
  </r>
  <r>
    <x v="52"/>
    <x v="52"/>
    <x v="47"/>
    <x v="52"/>
    <x v="50"/>
    <n v="102516525"/>
    <x v="2"/>
    <x v="34"/>
    <n v="5.0301680326982547E-2"/>
    <n v="0.37670033087519733"/>
    <n v="9.0211797561417541E-4"/>
    <s v="HIGH RISK"/>
    <s v="HIGH RISK"/>
    <n v="3"/>
  </r>
  <r>
    <x v="53"/>
    <x v="53"/>
    <x v="48"/>
    <x v="53"/>
    <x v="51"/>
    <n v="6489514"/>
    <x v="3"/>
    <x v="26"/>
    <n v="2.7136681077485868E-2"/>
    <n v="0.51732623877618888"/>
    <n v="2.3168144794818227E-3"/>
    <s v="MODERATE RISK"/>
    <s v="MODERATE RISK"/>
    <n v="2"/>
  </r>
  <r>
    <x v="54"/>
    <x v="54"/>
    <x v="49"/>
    <x v="54"/>
    <x v="52"/>
    <n v="1407001"/>
    <x v="2"/>
    <x v="25"/>
    <n v="1.6606968414197329E-2"/>
    <n v="0.27417779225008143"/>
    <n v="2.1826565865980196E-3"/>
    <s v="LOW RISK"/>
    <s v="LOW RISK"/>
    <n v="1"/>
  </r>
  <r>
    <x v="55"/>
    <x v="55"/>
    <x v="19"/>
    <x v="55"/>
    <x v="53"/>
    <n v="3551175"/>
    <x v="2"/>
    <x v="4"/>
    <n v="0"/>
    <n v="0.72075471698113203"/>
    <n v="7.4623188099713479E-5"/>
    <s v="LOW RISK"/>
    <s v="LOW RISK"/>
    <n v="1"/>
  </r>
  <r>
    <x v="56"/>
    <x v="56"/>
    <x v="50"/>
    <x v="56"/>
    <x v="54"/>
    <n v="1326627"/>
    <x v="1"/>
    <x v="30"/>
    <n v="3.3923303834808259E-2"/>
    <n v="0.94542772861356927"/>
    <n v="1.5332116714042456E-3"/>
    <s v="MODERATE RISK"/>
    <s v="MODERATE RISK"/>
    <n v="2"/>
  </r>
  <r>
    <x v="57"/>
    <x v="57"/>
    <x v="51"/>
    <x v="57"/>
    <x v="55"/>
    <n v="1161348"/>
    <x v="2"/>
    <x v="25"/>
    <n v="1.468048359240069E-2"/>
    <n v="0.442573402417962"/>
    <n v="1.9942342863637774E-3"/>
    <s v="LOW RISK"/>
    <s v="LOW RISK"/>
    <n v="1"/>
  </r>
  <r>
    <x v="58"/>
    <x v="58"/>
    <x v="52"/>
    <x v="58"/>
    <x v="56"/>
    <n v="115223736"/>
    <x v="2"/>
    <x v="5"/>
    <n v="1.5673334708187256E-2"/>
    <n v="0.43899085722142023"/>
    <n v="1.2625002890029533E-4"/>
    <s v="LOW RISK"/>
    <s v="LOW RISK"/>
    <n v="1"/>
  </r>
  <r>
    <x v="59"/>
    <x v="59"/>
    <x v="19"/>
    <x v="49"/>
    <x v="14"/>
    <n v="897095"/>
    <x v="5"/>
    <x v="26"/>
    <n v="0"/>
    <n v="0.66666666666666663"/>
    <n v="3.0097146901944609E-5"/>
    <s v="LOW RISK"/>
    <s v="LOW RISK"/>
    <n v="1"/>
  </r>
  <r>
    <x v="60"/>
    <x v="60"/>
    <x v="53"/>
    <x v="59"/>
    <x v="57"/>
    <n v="5541604"/>
    <x v="1"/>
    <x v="21"/>
    <n v="4.4471478778048121E-2"/>
    <n v="0.93538794268721281"/>
    <n v="1.334992540066017E-3"/>
    <s v="MODERATE RISK"/>
    <s v="MODERATE RISK"/>
    <n v="2"/>
  </r>
  <r>
    <x v="61"/>
    <x v="61"/>
    <x v="54"/>
    <x v="60"/>
    <x v="58"/>
    <n v="65288306"/>
    <x v="1"/>
    <x v="35"/>
    <n v="0.13710790008713331"/>
    <n v="0.36855576532094103"/>
    <n v="3.3750607650932158E-3"/>
    <s v="HIGH RISK"/>
    <s v="HIGH RISK"/>
    <n v="3"/>
  </r>
  <r>
    <x v="62"/>
    <x v="62"/>
    <x v="55"/>
    <x v="61"/>
    <x v="59"/>
    <n v="2230563"/>
    <x v="2"/>
    <x v="36"/>
    <n v="6.815968841285297E-3"/>
    <n v="0.65127277785505633"/>
    <n v="3.2229531288737417E-3"/>
    <s v="LOW RISK"/>
    <s v="LOW RISK"/>
    <n v="1"/>
  </r>
  <r>
    <x v="63"/>
    <x v="63"/>
    <x v="56"/>
    <x v="62"/>
    <x v="60"/>
    <n v="2422754"/>
    <x v="2"/>
    <x v="13"/>
    <n v="2.4539877300613498E-2"/>
    <n v="0.20245398773006135"/>
    <n v="1.345576150116768E-4"/>
    <s v="MODERATE RISK"/>
    <s v="MODERATE RISK"/>
    <n v="2"/>
  </r>
  <r>
    <x v="64"/>
    <x v="64"/>
    <x v="57"/>
    <x v="63"/>
    <x v="61"/>
    <n v="3988368"/>
    <x v="0"/>
    <x v="21"/>
    <n v="1.4072119613016711E-2"/>
    <n v="0.81090589270008795"/>
    <n v="2.8507900976038319E-4"/>
    <s v="LOW RISK"/>
    <s v="LOW RISK"/>
    <n v="1"/>
  </r>
  <r>
    <x v="65"/>
    <x v="65"/>
    <x v="58"/>
    <x v="64"/>
    <x v="62"/>
    <n v="83811260"/>
    <x v="1"/>
    <x v="24"/>
    <n v="4.4058287303487965E-2"/>
    <n v="0.91889412491791878"/>
    <n v="2.4711715347078664E-3"/>
    <s v="MODERATE RISK"/>
    <s v="MODERATE RISK"/>
    <n v="2"/>
  </r>
  <r>
    <x v="66"/>
    <x v="66"/>
    <x v="59"/>
    <x v="65"/>
    <x v="63"/>
    <n v="31133483"/>
    <x v="2"/>
    <x v="36"/>
    <n v="4.9964311206281229E-3"/>
    <n v="0.88630145134427785"/>
    <n v="1.0799948081620036E-3"/>
    <s v="LOW RISK"/>
    <s v="LOW RISK"/>
    <n v="1"/>
  </r>
  <r>
    <x v="67"/>
    <x v="67"/>
    <x v="60"/>
    <x v="66"/>
    <x v="64"/>
    <n v="10417673"/>
    <x v="1"/>
    <x v="21"/>
    <n v="4.7788029335225926E-2"/>
    <n v="0.32505322924059615"/>
    <n v="4.0575280103339776E-4"/>
    <s v="MODERATE RISK"/>
    <s v="MODERATE RISK"/>
    <n v="2"/>
  </r>
  <r>
    <x v="68"/>
    <x v="68"/>
    <x v="19"/>
    <x v="67"/>
    <x v="65"/>
    <n v="56780"/>
    <x v="3"/>
    <x v="12"/>
    <n v="0"/>
    <n v="0.9285714285714286"/>
    <n v="2.4656569214512151E-4"/>
    <s v="LOW RISK"/>
    <s v="LOW RISK"/>
    <n v="1"/>
  </r>
  <r>
    <x v="69"/>
    <x v="69"/>
    <x v="19"/>
    <x v="68"/>
    <x v="24"/>
    <n v="112576"/>
    <x v="3"/>
    <x v="32"/>
    <n v="0"/>
    <n v="1"/>
    <n v="2.0430642410460489E-4"/>
    <s v="LOW RISK"/>
    <s v="LOW RISK"/>
    <n v="1"/>
  </r>
  <r>
    <x v="70"/>
    <x v="70"/>
    <x v="61"/>
    <x v="69"/>
    <x v="66"/>
    <n v="17946899"/>
    <x v="3"/>
    <x v="5"/>
    <n v="3.8866450374097861E-2"/>
    <n v="0.71630360414045779"/>
    <n v="2.5246144194604318E-3"/>
    <s v="MODERATE RISK"/>
    <s v="MODERATE RISK"/>
    <n v="2"/>
  </r>
  <r>
    <x v="71"/>
    <x v="71"/>
    <x v="62"/>
    <x v="70"/>
    <x v="67"/>
    <n v="13164905"/>
    <x v="2"/>
    <x v="5"/>
    <n v="6.3784549964564135E-3"/>
    <n v="0.88688873139617297"/>
    <n v="5.3589448613567661E-4"/>
    <s v="LOW RISK"/>
    <s v="LOW RISK"/>
    <n v="1"/>
  </r>
  <r>
    <x v="72"/>
    <x v="72"/>
    <x v="63"/>
    <x v="3"/>
    <x v="68"/>
    <n v="1972277"/>
    <x v="2"/>
    <x v="37"/>
    <n v="1.3306038894575231E-2"/>
    <n v="0.41095189355168882"/>
    <n v="9.907330461187754E-4"/>
    <s v="LOW RISK"/>
    <s v="LOW RISK"/>
    <n v="1"/>
  </r>
  <r>
    <x v="73"/>
    <x v="73"/>
    <x v="64"/>
    <x v="71"/>
    <x v="69"/>
    <n v="786936"/>
    <x v="4"/>
    <x v="36"/>
    <n v="5.1413881748071981E-2"/>
    <n v="0.4652956298200514"/>
    <n v="4.943222828794209E-4"/>
    <s v="HIGH RISK"/>
    <s v="HIGH RISK"/>
    <n v="3"/>
  </r>
  <r>
    <x v="74"/>
    <x v="74"/>
    <x v="65"/>
    <x v="72"/>
    <x v="70"/>
    <n v="11416103"/>
    <x v="3"/>
    <x v="26"/>
    <n v="2.1525885558583105E-2"/>
    <n v="0.59468664850136244"/>
    <n v="6.4295145199723587E-4"/>
    <s v="MODERATE RISK"/>
    <s v="MODERATE RISK"/>
    <n v="2"/>
  </r>
  <r>
    <x v="75"/>
    <x v="75"/>
    <x v="19"/>
    <x v="73"/>
    <x v="24"/>
    <n v="528"/>
    <x v="1"/>
    <x v="32"/>
    <n v="0"/>
    <n v="1"/>
    <n v="2.2727272727272728E-2"/>
    <s v="LOW RISK"/>
    <s v="LOW RISK"/>
    <n v="1"/>
  </r>
  <r>
    <x v="76"/>
    <x v="76"/>
    <x v="66"/>
    <x v="74"/>
    <x v="71"/>
    <n v="10012084"/>
    <x v="3"/>
    <x v="13"/>
    <n v="2.9339976346845827E-2"/>
    <n v="0.12679600412672051"/>
    <n v="3.9693034936582631E-3"/>
    <s v="MODERATE RISK"/>
    <s v="MODERATE RISK"/>
    <n v="2"/>
  </r>
  <r>
    <x v="77"/>
    <x v="77"/>
    <x v="67"/>
    <x v="75"/>
    <x v="72"/>
    <n v="9657785"/>
    <x v="1"/>
    <x v="38"/>
    <n v="0.13399280575539568"/>
    <n v="0.74842625899280579"/>
    <n v="4.6056109138896753E-4"/>
    <s v="HIGH RISK"/>
    <s v="HIGH RISK"/>
    <n v="3"/>
  </r>
  <r>
    <x v="78"/>
    <x v="78"/>
    <x v="68"/>
    <x v="76"/>
    <x v="73"/>
    <n v="341465"/>
    <x v="1"/>
    <x v="9"/>
    <n v="5.3937432578209281E-3"/>
    <n v="0.98327939590075508"/>
    <n v="5.4295462199639788E-3"/>
    <s v="LOW RISK"/>
    <s v="LOW RISK"/>
    <n v="1"/>
  </r>
  <r>
    <x v="79"/>
    <x v="79"/>
    <x v="69"/>
    <x v="77"/>
    <x v="74"/>
    <n v="1381344997"/>
    <x v="0"/>
    <x v="39"/>
    <n v="2.2571859631247918E-2"/>
    <n v="0.64264803154979522"/>
    <n v="1.0714723716482247E-3"/>
    <s v="MODERATE RISK"/>
    <s v="MODERATE RISK"/>
    <n v="2"/>
  </r>
  <r>
    <x v="80"/>
    <x v="80"/>
    <x v="70"/>
    <x v="78"/>
    <x v="75"/>
    <n v="273808365"/>
    <x v="0"/>
    <x v="3"/>
    <n v="4.8233851430166598E-2"/>
    <n v="0.57997268277120329"/>
    <n v="3.6632555035343787E-4"/>
    <s v="MODERATE RISK"/>
    <s v="MODERATE RISK"/>
    <n v="2"/>
  </r>
  <r>
    <x v="81"/>
    <x v="81"/>
    <x v="71"/>
    <x v="79"/>
    <x v="76"/>
    <n v="84097623"/>
    <x v="0"/>
    <x v="40"/>
    <n v="5.4195077757266542E-2"/>
    <n v="0.86900131468702957"/>
    <n v="3.4912520654715772E-3"/>
    <s v="HIGH RISK"/>
    <s v="HIGH RISK"/>
    <n v="3"/>
  </r>
  <r>
    <x v="82"/>
    <x v="82"/>
    <x v="72"/>
    <x v="80"/>
    <x v="77"/>
    <n v="40306025"/>
    <x v="0"/>
    <x v="41"/>
    <n v="3.9596749122884932E-2"/>
    <n v="0.68520673269085575"/>
    <n v="2.7932548545781927E-3"/>
    <s v="MODERATE RISK"/>
    <s v="MODERATE RISK"/>
    <n v="2"/>
  </r>
  <r>
    <x v="83"/>
    <x v="83"/>
    <x v="73"/>
    <x v="81"/>
    <x v="78"/>
    <n v="4943200"/>
    <x v="1"/>
    <x v="33"/>
    <n v="6.8129151861578863E-2"/>
    <n v="0.90236366445234051"/>
    <n v="5.2379025732319142E-3"/>
    <s v="HIGH RISK"/>
    <s v="HIGH RISK"/>
    <n v="3"/>
  </r>
  <r>
    <x v="84"/>
    <x v="84"/>
    <x v="74"/>
    <x v="82"/>
    <x v="79"/>
    <n v="9197590"/>
    <x v="0"/>
    <x v="11"/>
    <n v="7.407986246776588E-3"/>
    <n v="0.42405251230757207"/>
    <n v="6.9567136608611607E-3"/>
    <s v="LOW RISK"/>
    <s v="LOW RISK"/>
    <n v="1"/>
  </r>
  <r>
    <x v="85"/>
    <x v="85"/>
    <x v="75"/>
    <x v="83"/>
    <x v="80"/>
    <n v="60452568"/>
    <x v="1"/>
    <x v="42"/>
    <n v="0.14256595990027854"/>
    <n v="0.80635115272488078"/>
    <n v="4.0740370202304726E-3"/>
    <s v="HIGH RISK"/>
    <s v="HIGH RISK"/>
    <n v="3"/>
  </r>
  <r>
    <x v="86"/>
    <x v="86"/>
    <x v="68"/>
    <x v="84"/>
    <x v="81"/>
    <n v="2962478"/>
    <x v="3"/>
    <x v="18"/>
    <n v="1.1723329425556858E-2"/>
    <n v="0.83704572098475971"/>
    <n v="2.8793462770018881E-4"/>
    <s v="LOW RISK"/>
    <s v="LOW RISK"/>
    <n v="1"/>
  </r>
  <r>
    <x v="87"/>
    <x v="87"/>
    <x v="76"/>
    <x v="85"/>
    <x v="82"/>
    <n v="126435859"/>
    <x v="0"/>
    <x v="43"/>
    <n v="3.2046753580373774E-2"/>
    <n v="0.70547813242566304"/>
    <n v="2.4630670639094564E-4"/>
    <s v="MODERATE RISK"/>
    <s v="MODERATE RISK"/>
    <n v="2"/>
  </r>
  <r>
    <x v="88"/>
    <x v="88"/>
    <x v="11"/>
    <x v="86"/>
    <x v="83"/>
    <n v="10213138"/>
    <x v="0"/>
    <x v="3"/>
    <n v="9.3537414965986394E-3"/>
    <n v="0.88520408163265307"/>
    <n v="1.1514580533426651E-4"/>
    <s v="LOW RISK"/>
    <s v="LOW RISK"/>
    <n v="1"/>
  </r>
  <r>
    <x v="89"/>
    <x v="89"/>
    <x v="77"/>
    <x v="87"/>
    <x v="84"/>
    <n v="18798667"/>
    <x v="0"/>
    <x v="5"/>
    <n v="6.9109724978735467E-3"/>
    <n v="0.64270862867403833"/>
    <n v="4.5028724643082409E-3"/>
    <s v="LOW RISK"/>
    <s v="LOW RISK"/>
    <n v="1"/>
  </r>
  <r>
    <x v="90"/>
    <x v="90"/>
    <x v="78"/>
    <x v="88"/>
    <x v="85"/>
    <n v="53881160"/>
    <x v="2"/>
    <x v="5"/>
    <n v="1.5855354659248956E-2"/>
    <n v="0.4357719054242003"/>
    <n v="3.3360454748932648E-4"/>
    <s v="LOW RISK"/>
    <s v="LOW RISK"/>
    <n v="1"/>
  </r>
  <r>
    <x v="91"/>
    <x v="91"/>
    <x v="79"/>
    <x v="89"/>
    <x v="86"/>
    <n v="1790152"/>
    <x v="1"/>
    <x v="5"/>
    <n v="2.4956158100634021E-2"/>
    <n v="0.54323485768244972"/>
    <n v="4.1409891450558392E-3"/>
    <s v="MODERATE RISK"/>
    <s v="MODERATE RISK"/>
    <n v="2"/>
  </r>
  <r>
    <x v="92"/>
    <x v="92"/>
    <x v="80"/>
    <x v="90"/>
    <x v="87"/>
    <n v="4276658"/>
    <x v="0"/>
    <x v="0"/>
    <n v="6.8034607558365304E-3"/>
    <n v="0.85520123021482164"/>
    <n v="1.5053576881761413E-2"/>
    <s v="LOW RISK"/>
    <s v="LOW RISK"/>
    <n v="1"/>
  </r>
  <r>
    <x v="93"/>
    <x v="93"/>
    <x v="81"/>
    <x v="91"/>
    <x v="88"/>
    <n v="6534479"/>
    <x v="0"/>
    <x v="31"/>
    <n v="3.9073762614127823E-2"/>
    <n v="0.63686328688130711"/>
    <n v="5.0954330100379842E-3"/>
    <s v="MODERATE RISK"/>
    <s v="MODERATE RISK"/>
    <n v="2"/>
  </r>
  <r>
    <x v="94"/>
    <x v="94"/>
    <x v="19"/>
    <x v="92"/>
    <x v="65"/>
    <n v="7285750"/>
    <x v="0"/>
    <x v="44"/>
    <n v="0"/>
    <n v="0.95"/>
    <n v="2.7450845829187114E-6"/>
    <s v="LOW RISK"/>
    <s v="LOW RISK"/>
    <n v="1"/>
  </r>
  <r>
    <x v="95"/>
    <x v="95"/>
    <x v="82"/>
    <x v="93"/>
    <x v="89"/>
    <n v="1883936"/>
    <x v="1"/>
    <x v="3"/>
    <n v="2.5430680885972109E-2"/>
    <n v="0.85726004922067267"/>
    <n v="6.4704958130212494E-4"/>
    <s v="MODERATE RISK"/>
    <s v="MODERATE RISK"/>
    <n v="2"/>
  </r>
  <r>
    <x v="96"/>
    <x v="96"/>
    <x v="49"/>
    <x v="94"/>
    <x v="90"/>
    <n v="6822220"/>
    <x v="0"/>
    <x v="11"/>
    <n v="1.3137557959814529E-2"/>
    <n v="0.44023699124162802"/>
    <n v="5.6902298665243865E-4"/>
    <s v="LOW RISK"/>
    <s v="LOW RISK"/>
    <n v="1"/>
  </r>
  <r>
    <x v="97"/>
    <x v="97"/>
    <x v="83"/>
    <x v="95"/>
    <x v="91"/>
    <n v="2143943"/>
    <x v="2"/>
    <x v="45"/>
    <n v="2.3762376237623763E-2"/>
    <n v="0.25346534653465347"/>
    <n v="2.3554730699463559E-4"/>
    <s v="MODERATE RISK"/>
    <s v="MODERATE RISK"/>
    <n v="2"/>
  </r>
  <r>
    <x v="98"/>
    <x v="98"/>
    <x v="84"/>
    <x v="96"/>
    <x v="92"/>
    <n v="5068618"/>
    <x v="2"/>
    <x v="16"/>
    <n v="6.1696658097686374E-2"/>
    <n v="0.55355612682090827"/>
    <n v="2.3024027456793942E-4"/>
    <s v="HIGH RISK"/>
    <s v="HIGH RISK"/>
    <n v="3"/>
  </r>
  <r>
    <x v="99"/>
    <x v="99"/>
    <x v="85"/>
    <x v="97"/>
    <x v="93"/>
    <n v="6880353"/>
    <x v="2"/>
    <x v="44"/>
    <n v="2.2638839759462327E-2"/>
    <n v="0.20410328970640254"/>
    <n v="4.1088008129815432E-4"/>
    <s v="MODERATE RISK"/>
    <s v="MODERATE RISK"/>
    <n v="2"/>
  </r>
  <r>
    <x v="100"/>
    <x v="5"/>
    <x v="26"/>
    <x v="98"/>
    <x v="94"/>
    <n v="38139"/>
    <x v="1"/>
    <x v="6"/>
    <n v="1.1627906976744186E-2"/>
    <n v="0.94186046511627908"/>
    <n v="2.2549096725136999E-3"/>
    <s v="LOW RISK"/>
    <s v="LOW RISK"/>
    <n v="1"/>
  </r>
  <r>
    <x v="101"/>
    <x v="100"/>
    <x v="86"/>
    <x v="99"/>
    <x v="95"/>
    <n v="2718121"/>
    <x v="1"/>
    <x v="9"/>
    <n v="3.9623576027736501E-2"/>
    <n v="0.80237741456166423"/>
    <n v="7.4279253940497862E-4"/>
    <s v="MODERATE RISK"/>
    <s v="MODERATE RISK"/>
    <n v="2"/>
  </r>
  <r>
    <x v="102"/>
    <x v="101"/>
    <x v="87"/>
    <x v="100"/>
    <x v="96"/>
    <n v="626952"/>
    <x v="1"/>
    <x v="33"/>
    <n v="1.7718715393133997E-2"/>
    <n v="0.763328587248853"/>
    <n v="1.0082111549209509E-2"/>
    <s v="LOW RISK"/>
    <s v="LOW RISK"/>
    <n v="1"/>
  </r>
  <r>
    <x v="103"/>
    <x v="102"/>
    <x v="88"/>
    <x v="101"/>
    <x v="97"/>
    <n v="27755708"/>
    <x v="2"/>
    <x v="23"/>
    <n v="9.3911248710010324E-3"/>
    <n v="0.6460268317853457"/>
    <n v="3.491173779461868E-4"/>
    <s v="LOW RISK"/>
    <s v="LOW RISK"/>
    <n v="1"/>
  </r>
  <r>
    <x v="104"/>
    <x v="103"/>
    <x v="89"/>
    <x v="102"/>
    <x v="98"/>
    <n v="19174839"/>
    <x v="2"/>
    <x v="46"/>
    <n v="2.7019650655021835E-2"/>
    <n v="0.44896288209606988"/>
    <n v="1.910837426066524E-4"/>
    <s v="MODERATE RISK"/>
    <s v="MODERATE RISK"/>
    <n v="2"/>
  </r>
  <r>
    <x v="105"/>
    <x v="104"/>
    <x v="90"/>
    <x v="103"/>
    <x v="99"/>
    <n v="32406372"/>
    <x v="0"/>
    <x v="8"/>
    <n v="1.3926325247079964E-2"/>
    <n v="0.96597035040431267"/>
    <n v="2.7476077852837093E-4"/>
    <s v="LOW RISK"/>
    <s v="LOW RISK"/>
    <n v="1"/>
  </r>
  <r>
    <x v="106"/>
    <x v="105"/>
    <x v="91"/>
    <x v="104"/>
    <x v="100"/>
    <n v="541448"/>
    <x v="0"/>
    <x v="47"/>
    <n v="4.4523597506678537E-3"/>
    <n v="0.75601068566340157"/>
    <n v="6.2222041636500643E-3"/>
    <s v="LOW RISK"/>
    <s v="LOW RISK"/>
    <n v="1"/>
  </r>
  <r>
    <x v="107"/>
    <x v="106"/>
    <x v="90"/>
    <x v="105"/>
    <x v="101"/>
    <n v="20302901"/>
    <x v="2"/>
    <x v="37"/>
    <n v="4.9343414245921209E-2"/>
    <n v="0.76124154397134902"/>
    <n v="1.2377541514880066E-4"/>
    <s v="MODERATE RISK"/>
    <s v="MODERATE RISK"/>
    <n v="2"/>
  </r>
  <r>
    <x v="108"/>
    <x v="107"/>
    <x v="92"/>
    <x v="106"/>
    <x v="102"/>
    <n v="441663"/>
    <x v="1"/>
    <x v="47"/>
    <n v="1.2838801711840228E-2"/>
    <n v="0.94864479315263905"/>
    <n v="1.5871829879342395E-3"/>
    <s v="LOW RISK"/>
    <s v="LOW RISK"/>
    <n v="1"/>
  </r>
  <r>
    <x v="109"/>
    <x v="108"/>
    <x v="93"/>
    <x v="107"/>
    <x v="103"/>
    <n v="4660728"/>
    <x v="2"/>
    <x v="5"/>
    <n v="2.5128865979381444E-2"/>
    <n v="0.74951675257731953"/>
    <n v="1.3319807549378553E-3"/>
    <s v="MODERATE RISK"/>
    <s v="MODERATE RISK"/>
    <n v="2"/>
  </r>
  <r>
    <x v="110"/>
    <x v="109"/>
    <x v="68"/>
    <x v="108"/>
    <x v="104"/>
    <n v="1271985"/>
    <x v="2"/>
    <x v="31"/>
    <n v="2.9069767441860465E-2"/>
    <n v="0.96511627906976749"/>
    <n v="2.7044344076384549E-4"/>
    <s v="MODERATE RISK"/>
    <s v="MODERATE RISK"/>
    <n v="2"/>
  </r>
  <r>
    <x v="111"/>
    <x v="110"/>
    <x v="94"/>
    <x v="109"/>
    <x v="105"/>
    <n v="129066160"/>
    <x v="3"/>
    <x v="9"/>
    <n v="0.11131030193001576"/>
    <n v="0.7681882429094109"/>
    <n v="3.0642346529872739E-3"/>
    <s v="HIGH RISK"/>
    <s v="HIGH RISK"/>
    <n v="3"/>
  </r>
  <r>
    <x v="112"/>
    <x v="111"/>
    <x v="95"/>
    <x v="110"/>
    <x v="106"/>
    <n v="4032983"/>
    <x v="1"/>
    <x v="47"/>
    <n v="3.2305433186490456E-2"/>
    <n v="0.69767642739915348"/>
    <n v="5.7411598313208854E-3"/>
    <s v="MODERATE RISK"/>
    <s v="MODERATE RISK"/>
    <n v="2"/>
  </r>
  <r>
    <x v="113"/>
    <x v="112"/>
    <x v="96"/>
    <x v="111"/>
    <x v="107"/>
    <n v="39270"/>
    <x v="1"/>
    <x v="33"/>
    <n v="3.4482758620689655E-2"/>
    <n v="0.89655172413793105"/>
    <n v="2.9539088362617776E-3"/>
    <s v="MODERATE RISK"/>
    <s v="MODERATE RISK"/>
    <n v="2"/>
  </r>
  <r>
    <x v="114"/>
    <x v="113"/>
    <x v="19"/>
    <x v="112"/>
    <x v="108"/>
    <n v="3283344"/>
    <x v="0"/>
    <x v="18"/>
    <n v="0"/>
    <n v="0.76816608996539792"/>
    <n v="8.8020018615167948E-5"/>
    <s v="LOW RISK"/>
    <s v="LOW RISK"/>
    <n v="1"/>
  </r>
  <r>
    <x v="115"/>
    <x v="114"/>
    <x v="62"/>
    <x v="113"/>
    <x v="109"/>
    <n v="628074"/>
    <x v="1"/>
    <x v="13"/>
    <n v="1.5554787417905289E-2"/>
    <n v="0.27964051157967507"/>
    <n v="4.6061451357642573E-3"/>
    <s v="LOW RISK"/>
    <s v="LOW RISK"/>
    <n v="1"/>
  </r>
  <r>
    <x v="116"/>
    <x v="115"/>
    <x v="97"/>
    <x v="114"/>
    <x v="110"/>
    <n v="36953359"/>
    <x v="2"/>
    <x v="3"/>
    <n v="1.5129027624838417E-2"/>
    <n v="0.79250251352515921"/>
    <n v="5.6522601910153822E-4"/>
    <s v="LOW RISK"/>
    <s v="LOW RISK"/>
    <n v="1"/>
  </r>
  <r>
    <x v="117"/>
    <x v="116"/>
    <x v="11"/>
    <x v="32"/>
    <x v="111"/>
    <n v="31333962"/>
    <x v="2"/>
    <x v="32"/>
    <n v="6.4667842445620223E-3"/>
    <n v="0"/>
    <n v="5.4286144854583022E-5"/>
    <s v="LOW RISK"/>
    <s v="LOW RISK"/>
    <n v="1"/>
  </r>
  <r>
    <x v="118"/>
    <x v="117"/>
    <x v="56"/>
    <x v="115"/>
    <x v="112"/>
    <n v="2545264"/>
    <x v="2"/>
    <x v="25"/>
    <n v="4.3407487791644059E-3"/>
    <n v="5.4801953336950621E-2"/>
    <n v="7.2408991758811663E-4"/>
    <s v="LOW RISK"/>
    <s v="LOW RISK"/>
    <n v="1"/>
  </r>
  <r>
    <x v="119"/>
    <x v="118"/>
    <x v="98"/>
    <x v="116"/>
    <x v="113"/>
    <n v="29186486"/>
    <x v="0"/>
    <x v="48"/>
    <n v="2.5597269624573378E-3"/>
    <n v="0.73346843003412965"/>
    <n v="6.4248913007204774E-4"/>
    <s v="LOW RISK"/>
    <s v="LOW RISK"/>
    <n v="1"/>
  </r>
  <r>
    <x v="120"/>
    <x v="119"/>
    <x v="99"/>
    <x v="117"/>
    <x v="114"/>
    <n v="17138756"/>
    <x v="1"/>
    <x v="30"/>
    <n v="0.11532772920450078"/>
    <n v="3.5384644187744555E-3"/>
    <n v="3.1165039049508613E-3"/>
    <s v="HIGH RISK"/>
    <s v="HIGH RISK"/>
    <n v="3"/>
  </r>
  <r>
    <x v="121"/>
    <x v="120"/>
    <x v="27"/>
    <x v="118"/>
    <x v="73"/>
    <n v="5002100"/>
    <x v="5"/>
    <x v="9"/>
    <n v="1.4129736673089274E-2"/>
    <n v="0.97238278741168915"/>
    <n v="3.112692669078987E-4"/>
    <s v="LOW RISK"/>
    <s v="LOW RISK"/>
    <n v="1"/>
  </r>
  <r>
    <x v="122"/>
    <x v="121"/>
    <x v="100"/>
    <x v="119"/>
    <x v="115"/>
    <n v="6632263"/>
    <x v="3"/>
    <x v="31"/>
    <n v="3.1404478045943589E-2"/>
    <n v="0.72462925268973544"/>
    <n v="5.1852587872344626E-4"/>
    <s v="MODERATE RISK"/>
    <s v="MODERATE RISK"/>
    <n v="2"/>
  </r>
  <r>
    <x v="123"/>
    <x v="122"/>
    <x v="50"/>
    <x v="120"/>
    <x v="116"/>
    <n v="24281433"/>
    <x v="2"/>
    <x v="26"/>
    <n v="6.0954063604240286E-2"/>
    <n v="0.90724381625441697"/>
    <n v="4.6619983260460779E-5"/>
    <s v="HIGH RISK"/>
    <s v="HIGH RISK"/>
    <n v="3"/>
  </r>
  <r>
    <x v="124"/>
    <x v="123"/>
    <x v="101"/>
    <x v="121"/>
    <x v="117"/>
    <n v="206606300"/>
    <x v="2"/>
    <x v="30"/>
    <n v="2.0883924235065566E-2"/>
    <n v="0.44203496843127732"/>
    <n v="1.9931628415977636E-4"/>
    <s v="MODERATE RISK"/>
    <s v="MODERATE RISK"/>
    <n v="2"/>
  </r>
  <r>
    <x v="125"/>
    <x v="124"/>
    <x v="102"/>
    <x v="122"/>
    <x v="118"/>
    <n v="2083365"/>
    <x v="1"/>
    <x v="21"/>
    <n v="4.5628121022226575E-2"/>
    <n v="0.54479584842847351"/>
    <n v="4.9021654870845966E-3"/>
    <s v="MODERATE RISK"/>
    <s v="MODERATE RISK"/>
    <n v="2"/>
  </r>
  <r>
    <x v="126"/>
    <x v="125"/>
    <x v="103"/>
    <x v="123"/>
    <x v="119"/>
    <n v="5425471"/>
    <x v="1"/>
    <x v="21"/>
    <n v="2.7923784494086726E-2"/>
    <n v="0.95838808585194923"/>
    <n v="1.6831718389057834E-3"/>
    <s v="MODERATE RISK"/>
    <s v="MODERATE RISK"/>
    <n v="2"/>
  </r>
  <r>
    <x v="127"/>
    <x v="126"/>
    <x v="104"/>
    <x v="124"/>
    <x v="120"/>
    <n v="5118446"/>
    <x v="0"/>
    <x v="0"/>
    <n v="5.1000545043992833E-3"/>
    <n v="0.74006592436865737"/>
    <n v="1.5054960040606075E-2"/>
    <s v="LOW RISK"/>
    <s v="LOW RISK"/>
    <n v="1"/>
  </r>
  <r>
    <x v="128"/>
    <x v="127"/>
    <x v="105"/>
    <x v="125"/>
    <x v="121"/>
    <n v="221295851"/>
    <x v="0"/>
    <x v="21"/>
    <n v="2.1298703192618004E-2"/>
    <n v="0.8787300985456945"/>
    <n v="1.2394674313166406E-3"/>
    <s v="MODERATE RISK"/>
    <s v="MODERATE RISK"/>
    <n v="2"/>
  </r>
  <r>
    <x v="129"/>
    <x v="128"/>
    <x v="106"/>
    <x v="126"/>
    <x v="122"/>
    <n v="5112340"/>
    <x v="0"/>
    <x v="1"/>
    <n v="2.1516226685329255E-2"/>
    <n v="0.57104260929006212"/>
    <n v="1.2018371235089998E-2"/>
    <s v="MODERATE RISK"/>
    <s v="MODERATE RISK"/>
    <n v="2"/>
  </r>
  <r>
    <x v="130"/>
    <x v="129"/>
    <x v="19"/>
    <x v="127"/>
    <x v="123"/>
    <n v="8963009"/>
    <x v="5"/>
    <x v="23"/>
    <n v="0"/>
    <n v="0.17741935483870969"/>
    <n v="6.9173198420307291E-6"/>
    <s v="LOW RISK"/>
    <s v="LOW RISK"/>
    <n v="1"/>
  </r>
  <r>
    <x v="131"/>
    <x v="130"/>
    <x v="107"/>
    <x v="128"/>
    <x v="124"/>
    <n v="7141091"/>
    <x v="4"/>
    <x v="47"/>
    <n v="9.4547053649956022E-3"/>
    <n v="0.63874230430958667"/>
    <n v="6.368774743243014E-4"/>
    <s v="LOW RISK"/>
    <s v="LOW RISK"/>
    <n v="1"/>
  </r>
  <r>
    <x v="132"/>
    <x v="131"/>
    <x v="108"/>
    <x v="129"/>
    <x v="125"/>
    <n v="33016319"/>
    <x v="4"/>
    <x v="17"/>
    <n v="4.7259934773181564E-2"/>
    <n v="0.69934593564047753"/>
    <n v="1.180376891803111E-2"/>
    <s v="MODERATE RISK"/>
    <s v="MODERATE RISK"/>
    <n v="2"/>
  </r>
  <r>
    <x v="133"/>
    <x v="132"/>
    <x v="109"/>
    <x v="130"/>
    <x v="126"/>
    <n v="109722719"/>
    <x v="0"/>
    <x v="39"/>
    <n v="2.370794734275963E-2"/>
    <n v="0.32235494880546073"/>
    <n v="7.4770294381786148E-4"/>
    <s v="MODERATE RISK"/>
    <s v="MODERATE RISK"/>
    <n v="2"/>
  </r>
  <r>
    <x v="134"/>
    <x v="133"/>
    <x v="110"/>
    <x v="131"/>
    <x v="127"/>
    <n v="37842302"/>
    <x v="1"/>
    <x v="38"/>
    <n v="3.8615731993917331E-2"/>
    <n v="0.75701580572323857"/>
    <n v="1.1469175421727779E-3"/>
    <s v="MODERATE RISK"/>
    <s v="MODERATE RISK"/>
    <n v="2"/>
  </r>
  <r>
    <x v="135"/>
    <x v="134"/>
    <x v="111"/>
    <x v="132"/>
    <x v="128"/>
    <n v="10193593"/>
    <x v="1"/>
    <x v="3"/>
    <n v="3.4175629734189548E-2"/>
    <n v="0.70329430008548877"/>
    <n v="4.9343739739265632E-3"/>
    <s v="MODERATE RISK"/>
    <s v="MODERATE RISK"/>
    <n v="2"/>
  </r>
  <r>
    <x v="136"/>
    <x v="135"/>
    <x v="112"/>
    <x v="133"/>
    <x v="129"/>
    <n v="2807805"/>
    <x v="0"/>
    <x v="30"/>
    <n v="1.5055156619250528E-3"/>
    <n v="0.97017254121919394"/>
    <n v="3.9032981278970584E-2"/>
    <s v="LOW RISK"/>
    <s v="LOW RISK"/>
    <n v="1"/>
  </r>
  <r>
    <x v="137"/>
    <x v="136"/>
    <x v="113"/>
    <x v="134"/>
    <x v="130"/>
    <n v="19224023"/>
    <x v="1"/>
    <x v="21"/>
    <n v="4.805890810857915E-2"/>
    <n v="0.56193629907193587"/>
    <n v="2.3877416293145303E-3"/>
    <s v="MODERATE RISK"/>
    <s v="MODERATE RISK"/>
    <n v="2"/>
  </r>
  <r>
    <x v="138"/>
    <x v="137"/>
    <x v="114"/>
    <x v="135"/>
    <x v="131"/>
    <n v="145940924"/>
    <x v="1"/>
    <x v="42"/>
    <n v="1.6327080374197972E-2"/>
    <n v="0.73743571533525987"/>
    <n v="5.5959629253820543E-3"/>
    <s v="LOW RISK"/>
    <s v="LOW RISK"/>
    <n v="1"/>
  </r>
  <r>
    <x v="139"/>
    <x v="138"/>
    <x v="115"/>
    <x v="136"/>
    <x v="132"/>
    <n v="12981546"/>
    <x v="2"/>
    <x v="25"/>
    <n v="2.6609898882384245E-3"/>
    <n v="0.51889302820649286"/>
    <n v="1.4474393111575461E-4"/>
    <s v="LOW RISK"/>
    <s v="LOW RISK"/>
    <n v="1"/>
  </r>
  <r>
    <x v="140"/>
    <x v="139"/>
    <x v="19"/>
    <x v="137"/>
    <x v="104"/>
    <n v="53237"/>
    <x v="3"/>
    <x v="44"/>
    <n v="0"/>
    <n v="0.88235294117647056"/>
    <n v="3.1932678400360654E-4"/>
    <s v="LOW RISK"/>
    <s v="LOW RISK"/>
    <n v="1"/>
  </r>
  <r>
    <x v="141"/>
    <x v="140"/>
    <x v="19"/>
    <x v="138"/>
    <x v="104"/>
    <n v="183712"/>
    <x v="3"/>
    <x v="5"/>
    <n v="0"/>
    <n v="0.91666666666666663"/>
    <n v="1.306392614527086E-4"/>
    <s v="LOW RISK"/>
    <s v="LOW RISK"/>
    <n v="1"/>
  </r>
  <r>
    <x v="142"/>
    <x v="141"/>
    <x v="19"/>
    <x v="139"/>
    <x v="19"/>
    <n v="104000"/>
    <x v="3"/>
    <x v="29"/>
    <n v="0"/>
    <n v="0.75"/>
    <n v="5.0000000000000001E-4"/>
    <s v="LOW RISK"/>
    <s v="LOW RISK"/>
    <n v="1"/>
  </r>
  <r>
    <x v="143"/>
    <x v="142"/>
    <x v="116"/>
    <x v="140"/>
    <x v="24"/>
    <n v="33938"/>
    <x v="1"/>
    <x v="30"/>
    <n v="6.0085836909871244E-2"/>
    <n v="0.93991416309012876"/>
    <n v="2.0596381637102954E-2"/>
    <s v="HIGH RISK"/>
    <s v="HIGH RISK"/>
    <n v="3"/>
  </r>
  <r>
    <x v="144"/>
    <x v="143"/>
    <x v="117"/>
    <x v="141"/>
    <x v="133"/>
    <n v="219544"/>
    <x v="2"/>
    <x v="49"/>
    <n v="1.6184971098265895E-2"/>
    <n v="0.84855491329479771"/>
    <n v="3.9399846955507781E-3"/>
    <s v="LOW RISK"/>
    <s v="LOW RISK"/>
    <n v="1"/>
  </r>
  <r>
    <x v="145"/>
    <x v="144"/>
    <x v="118"/>
    <x v="142"/>
    <x v="134"/>
    <n v="34865919"/>
    <x v="0"/>
    <x v="3"/>
    <n v="1.0262741044271086E-2"/>
    <n v="0.8289617526976879"/>
    <n v="7.7133776396371484E-3"/>
    <s v="LOW RISK"/>
    <s v="LOW RISK"/>
    <n v="1"/>
  </r>
  <r>
    <x v="146"/>
    <x v="145"/>
    <x v="119"/>
    <x v="143"/>
    <x v="135"/>
    <n v="16783877"/>
    <x v="2"/>
    <x v="3"/>
    <n v="1.9868906185989348E-2"/>
    <n v="0.66335518230233514"/>
    <n v="5.8174878188156404E-4"/>
    <s v="LOW RISK"/>
    <s v="LOW RISK"/>
    <n v="1"/>
  </r>
  <r>
    <x v="147"/>
    <x v="146"/>
    <x v="120"/>
    <x v="32"/>
    <x v="136"/>
    <n v="8733665"/>
    <x v="1"/>
    <x v="17"/>
    <n v="2.2492854479930408E-2"/>
    <n v="0"/>
    <n v="2.7641316675187334E-3"/>
    <s v="MODERATE RISK"/>
    <s v="MODERATE RISK"/>
    <n v="2"/>
  </r>
  <r>
    <x v="148"/>
    <x v="147"/>
    <x v="19"/>
    <x v="139"/>
    <x v="137"/>
    <n v="98408"/>
    <x v="2"/>
    <x v="25"/>
    <n v="0"/>
    <n v="0.34210526315789475"/>
    <n v="1.158442403056662E-3"/>
    <s v="LOW RISK"/>
    <s v="LOW RISK"/>
    <n v="1"/>
  </r>
  <r>
    <x v="149"/>
    <x v="148"/>
    <x v="121"/>
    <x v="144"/>
    <x v="138"/>
    <n v="7992169"/>
    <x v="2"/>
    <x v="22"/>
    <n v="3.7016264722378012E-2"/>
    <n v="0.73864273696017946"/>
    <n v="2.230933805328691E-4"/>
    <s v="MODERATE RISK"/>
    <s v="MODERATE RISK"/>
    <n v="2"/>
  </r>
  <r>
    <x v="150"/>
    <x v="149"/>
    <x v="122"/>
    <x v="145"/>
    <x v="139"/>
    <n v="5854932"/>
    <x v="0"/>
    <x v="50"/>
    <n v="5.3109878437389356E-4"/>
    <n v="0.89877650576340529"/>
    <n v="8.6829360272672688E-3"/>
    <s v="LOW RISK"/>
    <s v="LOW RISK"/>
    <n v="1"/>
  </r>
  <r>
    <x v="151"/>
    <x v="150"/>
    <x v="123"/>
    <x v="146"/>
    <x v="140"/>
    <n v="5459915"/>
    <x v="1"/>
    <x v="17"/>
    <n v="1.2838147638697846E-2"/>
    <n v="0.74094452086198992"/>
    <n v="3.994567680998697E-4"/>
    <s v="LOW RISK"/>
    <s v="LOW RISK"/>
    <n v="1"/>
  </r>
  <r>
    <x v="152"/>
    <x v="151"/>
    <x v="124"/>
    <x v="147"/>
    <x v="141"/>
    <n v="2078968"/>
    <x v="1"/>
    <x v="38"/>
    <n v="5.558217537134643E-2"/>
    <n v="0.83037853378054627"/>
    <n v="1.0038634553297598E-3"/>
    <s v="HIGH RISK"/>
    <s v="HIGH RISK"/>
    <n v="3"/>
  </r>
  <r>
    <x v="153"/>
    <x v="152"/>
    <x v="125"/>
    <x v="148"/>
    <x v="142"/>
    <n v="15933012"/>
    <x v="2"/>
    <x v="16"/>
    <n v="2.9098873591989989E-2"/>
    <n v="0.48279098873591991"/>
    <n v="2.0058981942648382E-4"/>
    <s v="MODERATE RISK"/>
    <s v="MODERATE RISK"/>
    <n v="2"/>
  </r>
  <r>
    <x v="154"/>
    <x v="153"/>
    <x v="126"/>
    <x v="149"/>
    <x v="143"/>
    <n v="59381566"/>
    <x v="2"/>
    <x v="19"/>
    <n v="1.5616678710093718E-2"/>
    <n v="0.60753012514115112"/>
    <n v="7.6206983157028904E-3"/>
    <s v="LOW RISK"/>
    <s v="LOW RISK"/>
    <n v="1"/>
  </r>
  <r>
    <x v="155"/>
    <x v="154"/>
    <x v="127"/>
    <x v="150"/>
    <x v="144"/>
    <n v="51273732"/>
    <x v="0"/>
    <x v="51"/>
    <n v="2.1122298106033936E-2"/>
    <n v="0.91579243821727807"/>
    <n v="2.7700343715959667E-4"/>
    <s v="MODERATE RISK"/>
    <s v="MODERATE RISK"/>
    <n v="2"/>
  </r>
  <r>
    <x v="156"/>
    <x v="155"/>
    <x v="128"/>
    <x v="151"/>
    <x v="145"/>
    <n v="11206572"/>
    <x v="2"/>
    <x v="52"/>
    <n v="1.9956616052060738E-2"/>
    <n v="0.50976138828633411"/>
    <n v="2.0568287965311784E-4"/>
    <s v="LOW RISK"/>
    <s v="LOW RISK"/>
    <n v="1"/>
  </r>
  <r>
    <x v="157"/>
    <x v="156"/>
    <x v="129"/>
    <x v="152"/>
    <x v="146"/>
    <n v="46756648"/>
    <x v="1"/>
    <x v="42"/>
    <n v="0.10436787178668311"/>
    <n v="0.55199856105072664"/>
    <n v="5.8263586388827534E-3"/>
    <s v="HIGH RISK"/>
    <s v="HIGH RISK"/>
    <n v="3"/>
  </r>
  <r>
    <x v="158"/>
    <x v="157"/>
    <x v="11"/>
    <x v="153"/>
    <x v="147"/>
    <n v="21422362"/>
    <x v="0"/>
    <x v="24"/>
    <n v="3.9215686274509803E-3"/>
    <n v="0.75614973262032081"/>
    <n v="1.3093794232400704E-4"/>
    <s v="LOW RISK"/>
    <s v="LOW RISK"/>
    <n v="1"/>
  </r>
  <r>
    <x v="159"/>
    <x v="158"/>
    <x v="130"/>
    <x v="154"/>
    <x v="148"/>
    <n v="43943536"/>
    <x v="2"/>
    <x v="5"/>
    <n v="6.3025210084033612E-2"/>
    <n v="0.51987044817927175"/>
    <n v="2.5996997601649536E-4"/>
    <s v="HIGH RISK"/>
    <s v="HIGH RISK"/>
    <n v="3"/>
  </r>
  <r>
    <x v="160"/>
    <x v="159"/>
    <x v="131"/>
    <x v="155"/>
    <x v="149"/>
    <n v="587154"/>
    <x v="4"/>
    <x v="5"/>
    <n v="1.6183412002697236E-2"/>
    <n v="0.62373567093728932"/>
    <n v="2.5257428204525558E-3"/>
    <s v="LOW RISK"/>
    <s v="LOW RISK"/>
    <n v="1"/>
  </r>
  <r>
    <x v="161"/>
    <x v="160"/>
    <x v="132"/>
    <x v="32"/>
    <x v="150"/>
    <n v="10105596"/>
    <x v="1"/>
    <x v="42"/>
    <n v="7.1792934063857922E-2"/>
    <n v="0"/>
    <n v="7.8565381002763217E-3"/>
    <s v="HIGH RISK"/>
    <s v="HIGH RISK"/>
    <n v="3"/>
  </r>
  <r>
    <x v="162"/>
    <x v="161"/>
    <x v="133"/>
    <x v="156"/>
    <x v="9"/>
    <n v="8660952"/>
    <x v="1"/>
    <x v="2"/>
    <n v="5.7371581054036024E-2"/>
    <n v="0.89624967369550712"/>
    <n v="3.9807402234765879E-3"/>
    <s v="HIGH RISK"/>
    <s v="HIGH RISK"/>
    <n v="3"/>
  </r>
  <r>
    <x v="163"/>
    <x v="162"/>
    <x v="134"/>
    <x v="32"/>
    <x v="151"/>
    <n v="17539600"/>
    <x v="0"/>
    <x v="32"/>
    <n v="5.9347181008902079E-2"/>
    <n v="0"/>
    <n v="3.8427330155761816E-5"/>
    <s v="HIGH RISK"/>
    <s v="HIGH RISK"/>
    <n v="3"/>
  </r>
  <r>
    <x v="164"/>
    <x v="163"/>
    <x v="14"/>
    <x v="157"/>
    <x v="152"/>
    <n v="23821199"/>
    <x v="0"/>
    <x v="53"/>
    <n v="1.5151515151515152E-2"/>
    <n v="0.95238095238095233"/>
    <n v="1.9394489756791838E-5"/>
    <s v="LOW RISK"/>
    <s v="LOW RISK"/>
    <n v="1"/>
  </r>
  <r>
    <x v="165"/>
    <x v="164"/>
    <x v="135"/>
    <x v="158"/>
    <x v="153"/>
    <n v="9557468"/>
    <x v="0"/>
    <x v="28"/>
    <n v="8.2930200414651004E-3"/>
    <n v="0.83317208016586042"/>
    <n v="7.569996572313922E-4"/>
    <s v="LOW RISK"/>
    <s v="LOW RISK"/>
    <n v="1"/>
  </r>
  <r>
    <x v="166"/>
    <x v="165"/>
    <x v="136"/>
    <x v="159"/>
    <x v="154"/>
    <n v="59886383"/>
    <x v="2"/>
    <x v="16"/>
    <n v="4.1257367387033402E-2"/>
    <n v="0.35952848722986247"/>
    <n v="8.4994279918358071E-6"/>
    <s v="MODERATE RISK"/>
    <s v="MODERATE RISK"/>
    <n v="2"/>
  </r>
  <r>
    <x v="167"/>
    <x v="166"/>
    <x v="44"/>
    <x v="160"/>
    <x v="155"/>
    <n v="69817894"/>
    <x v="0"/>
    <x v="48"/>
    <n v="1.7591750075826508E-2"/>
    <n v="0.94358507734303909"/>
    <n v="4.7222850921283877E-5"/>
    <s v="LOW RISK"/>
    <s v="LOW RISK"/>
    <n v="1"/>
  </r>
  <r>
    <x v="168"/>
    <x v="140"/>
    <x v="19"/>
    <x v="32"/>
    <x v="47"/>
    <n v="1320812"/>
    <x v="0"/>
    <x v="4"/>
    <n v="0"/>
    <n v="0"/>
    <n v="1.8170640484792688E-5"/>
    <s v="LOW RISK"/>
    <s v="LOW RISK"/>
    <n v="1"/>
  </r>
  <r>
    <x v="169"/>
    <x v="167"/>
    <x v="137"/>
    <x v="161"/>
    <x v="156"/>
    <n v="8296582"/>
    <x v="2"/>
    <x v="17"/>
    <n v="2.0594965675057208E-2"/>
    <n v="0.69450800915331812"/>
    <n v="1.0534458648151732E-4"/>
    <s v="MODERATE RISK"/>
    <s v="MODERATE RISK"/>
    <n v="2"/>
  </r>
  <r>
    <x v="170"/>
    <x v="168"/>
    <x v="56"/>
    <x v="95"/>
    <x v="157"/>
    <n v="1399950"/>
    <x v="3"/>
    <x v="36"/>
    <n v="5.4054054054054057E-2"/>
    <n v="0.86486486486486491"/>
    <n v="1.0571806135933426E-4"/>
    <s v="HIGH RISK"/>
    <s v="HIGH RISK"/>
    <n v="3"/>
  </r>
  <r>
    <x v="171"/>
    <x v="169"/>
    <x v="138"/>
    <x v="162"/>
    <x v="158"/>
    <n v="11830801"/>
    <x v="2"/>
    <x v="3"/>
    <n v="3.4364261168384883E-2"/>
    <n v="0.79518900343642607"/>
    <n v="1.2298406506879795E-4"/>
    <s v="MODERATE RISK"/>
    <s v="MODERATE RISK"/>
    <n v="2"/>
  </r>
  <r>
    <x v="172"/>
    <x v="170"/>
    <x v="139"/>
    <x v="163"/>
    <x v="159"/>
    <n v="84428331"/>
    <x v="0"/>
    <x v="29"/>
    <n v="2.4799686369863315E-2"/>
    <n v="0.92709861289143203"/>
    <n v="2.6888959820844972E-3"/>
    <s v="MODERATE RISK"/>
    <s v="MODERATE RISK"/>
    <n v="2"/>
  </r>
  <r>
    <x v="173"/>
    <x v="171"/>
    <x v="140"/>
    <x v="164"/>
    <x v="160"/>
    <n v="331198130"/>
    <x v="3"/>
    <x v="53"/>
    <n v="3.4499315775574385E-2"/>
    <n v="0.30902656459668287"/>
    <n v="1.2953753694201112E-2"/>
    <s v="MODERATE RISK"/>
    <s v="MODERATE RISK"/>
    <n v="2"/>
  </r>
  <r>
    <x v="174"/>
    <x v="172"/>
    <x v="17"/>
    <x v="165"/>
    <x v="161"/>
    <n v="45867852"/>
    <x v="2"/>
    <x v="32"/>
    <n v="1.7730496453900709E-3"/>
    <n v="0.87411347517730498"/>
    <n v="2.4592387714166339E-5"/>
    <s v="LOW RISK"/>
    <s v="LOW RISK"/>
    <n v="1"/>
  </r>
  <r>
    <x v="175"/>
    <x v="173"/>
    <x v="141"/>
    <x v="166"/>
    <x v="162"/>
    <n v="43705858"/>
    <x v="1"/>
    <x v="6"/>
    <n v="2.4382973649695959E-2"/>
    <n v="0.55445928222248719"/>
    <n v="1.5351717840661086E-3"/>
    <s v="MODERATE RISK"/>
    <s v="MODERATE RISK"/>
    <n v="2"/>
  </r>
  <r>
    <x v="176"/>
    <x v="174"/>
    <x v="142"/>
    <x v="167"/>
    <x v="163"/>
    <n v="9902079"/>
    <x v="0"/>
    <x v="54"/>
    <n v="5.8299677239468037E-3"/>
    <n v="0.88733798604187442"/>
    <n v="5.9762197413290681E-3"/>
    <s v="LOW RISK"/>
    <s v="LOW RISK"/>
    <n v="1"/>
  </r>
  <r>
    <x v="177"/>
    <x v="175"/>
    <x v="143"/>
    <x v="168"/>
    <x v="164"/>
    <n v="67922029"/>
    <x v="1"/>
    <x v="42"/>
    <n v="0.15194824134593712"/>
    <n v="4.7628833176448756E-3"/>
    <n v="4.4419756659507328E-3"/>
    <s v="HIGH RISK"/>
    <s v="HIGH RISK"/>
    <n v="3"/>
  </r>
  <r>
    <x v="178"/>
    <x v="176"/>
    <x v="18"/>
    <x v="169"/>
    <x v="165"/>
    <n v="3474956"/>
    <x v="4"/>
    <x v="5"/>
    <n v="2.9118136439267885E-2"/>
    <n v="0.79118136439267883"/>
    <n v="3.4590366036289381E-4"/>
    <s v="MODERATE RISK"/>
    <s v="MODERATE RISK"/>
    <n v="2"/>
  </r>
  <r>
    <x v="179"/>
    <x v="177"/>
    <x v="144"/>
    <x v="170"/>
    <x v="166"/>
    <n v="33516027"/>
    <x v="0"/>
    <x v="10"/>
    <n v="5.7051251827054551E-3"/>
    <n v="0.55042670564383045"/>
    <n v="6.3280173392866643E-4"/>
    <s v="LOW RISK"/>
    <s v="LOW RISK"/>
    <n v="1"/>
  </r>
  <r>
    <x v="180"/>
    <x v="178"/>
    <x v="145"/>
    <x v="171"/>
    <x v="167"/>
    <n v="28427499"/>
    <x v="4"/>
    <x v="5"/>
    <n v="9.1318488866649981E-3"/>
    <n v="0.62290467850888165"/>
    <n v="5.624131760588577E-4"/>
    <s v="LOW RISK"/>
    <s v="LOW RISK"/>
    <n v="1"/>
  </r>
  <r>
    <x v="181"/>
    <x v="179"/>
    <x v="19"/>
    <x v="172"/>
    <x v="168"/>
    <n v="97425470"/>
    <x v="0"/>
    <x v="50"/>
    <n v="0"/>
    <n v="0.84686774941995357"/>
    <n v="4.4238944908348918E-6"/>
    <s v="LOW RISK"/>
    <s v="LOW RISK"/>
    <n v="1"/>
  </r>
  <r>
    <x v="182"/>
    <x v="25"/>
    <x v="146"/>
    <x v="173"/>
    <x v="169"/>
    <n v="4800000"/>
    <x v="0"/>
    <x v="19"/>
    <n v="7.3439412484700125E-3"/>
    <n v="0.35326240466999342"/>
    <n v="2.2127083333333335E-3"/>
    <s v="LOW RISK"/>
    <s v="LOW RISK"/>
    <n v="1"/>
  </r>
  <r>
    <x v="183"/>
    <x v="180"/>
    <x v="26"/>
    <x v="174"/>
    <x v="65"/>
    <n v="598682"/>
    <x v="2"/>
    <x v="55"/>
    <n v="0.1"/>
    <n v="0.8"/>
    <n v="1.6703358377235327E-5"/>
    <s v="HIGH RISK"/>
    <s v="HIGH RISK"/>
    <n v="3"/>
  </r>
  <r>
    <x v="184"/>
    <x v="181"/>
    <x v="147"/>
    <x v="175"/>
    <x v="170"/>
    <n v="29886897"/>
    <x v="0"/>
    <x v="56"/>
    <n v="0.28562980484920164"/>
    <n v="0.49260792430514488"/>
    <n v="5.6579978844909859E-5"/>
    <s v="HIGH RISK"/>
    <s v="HIGH RISK"/>
    <n v="3"/>
  </r>
  <r>
    <x v="185"/>
    <x v="182"/>
    <x v="148"/>
    <x v="176"/>
    <x v="171"/>
    <n v="18430129"/>
    <x v="2"/>
    <x v="31"/>
    <n v="3.0755711775043937E-2"/>
    <n v="0.61840949033391912"/>
    <n v="2.4698687676033088E-4"/>
    <s v="MODERATE RISK"/>
    <s v="MODERATE RISK"/>
    <n v="2"/>
  </r>
  <r>
    <x v="186"/>
    <x v="183"/>
    <x v="149"/>
    <x v="177"/>
    <x v="172"/>
    <n v="14883803"/>
    <x v="2"/>
    <x v="4"/>
    <n v="1.3313609467455622E-2"/>
    <n v="0.20044378698224852"/>
    <n v="1.8167399823821909E-4"/>
    <s v="LOW RISK"/>
    <s v="LOW RISK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D97C42-7E98-43EF-8508-31CA623899E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4" firstHeaderRow="0" firstDataRow="1" firstDataCol="1"/>
  <pivotFields count="17">
    <pivotField axis="axisRow" showAll="0" measureFilter="1">
      <items count="1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2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4"/>
        <item x="175"/>
        <item x="176"/>
        <item x="177"/>
        <item x="178"/>
        <item x="173"/>
        <item x="179"/>
        <item x="180"/>
        <item x="181"/>
        <item x="182"/>
        <item x="183"/>
        <item x="184"/>
        <item x="185"/>
        <item x="186"/>
        <item t="default"/>
      </items>
    </pivotField>
    <pivotField dataField="1" showAll="0">
      <items count="185">
        <item x="180"/>
        <item x="75"/>
        <item x="68"/>
        <item x="139"/>
        <item x="49"/>
        <item x="94"/>
        <item x="69"/>
        <item x="140"/>
        <item x="59"/>
        <item x="17"/>
        <item x="141"/>
        <item x="129"/>
        <item x="5"/>
        <item x="19"/>
        <item x="14"/>
        <item x="147"/>
        <item x="112"/>
        <item x="24"/>
        <item x="168"/>
        <item x="30"/>
        <item x="55"/>
        <item x="113"/>
        <item x="63"/>
        <item x="109"/>
        <item x="27"/>
        <item x="38"/>
        <item x="28"/>
        <item x="11"/>
        <item x="73"/>
        <item x="179"/>
        <item x="163"/>
        <item x="97"/>
        <item x="165"/>
        <item x="162"/>
        <item x="142"/>
        <item x="107"/>
        <item x="22"/>
        <item x="86"/>
        <item x="143"/>
        <item x="167"/>
        <item x="3"/>
        <item x="34"/>
        <item x="4"/>
        <item x="45"/>
        <item x="26"/>
        <item x="172"/>
        <item x="122"/>
        <item x="64"/>
        <item x="98"/>
        <item x="88"/>
        <item x="176"/>
        <item x="95"/>
        <item x="169"/>
        <item x="159"/>
        <item x="120"/>
        <item x="181"/>
        <item x="116"/>
        <item x="18"/>
        <item x="148"/>
        <item x="117"/>
        <item x="78"/>
        <item x="138"/>
        <item x="72"/>
        <item x="100"/>
        <item x="56"/>
        <item x="151"/>
        <item x="150"/>
        <item x="155"/>
        <item x="57"/>
        <item x="29"/>
        <item x="106"/>
        <item x="44"/>
        <item x="183"/>
        <item x="157"/>
        <item x="99"/>
        <item x="114"/>
        <item x="54"/>
        <item x="152"/>
        <item x="39"/>
        <item x="166"/>
        <item x="105"/>
        <item x="121"/>
        <item x="103"/>
        <item x="96"/>
        <item x="67"/>
        <item x="77"/>
        <item x="130"/>
        <item x="182"/>
        <item x="33"/>
        <item x="1"/>
        <item x="43"/>
        <item x="48"/>
        <item x="108"/>
        <item x="101"/>
        <item x="71"/>
        <item x="62"/>
        <item x="164"/>
        <item x="74"/>
        <item x="60"/>
        <item x="91"/>
        <item x="40"/>
        <item x="104"/>
        <item x="125"/>
        <item x="102"/>
        <item x="145"/>
        <item x="124"/>
        <item x="21"/>
        <item x="25"/>
        <item x="158"/>
        <item x="47"/>
        <item x="154"/>
        <item x="58"/>
        <item x="53"/>
        <item x="8"/>
        <item x="46"/>
        <item x="42"/>
        <item x="41"/>
        <item x="178"/>
        <item x="31"/>
        <item x="90"/>
        <item x="118"/>
        <item x="9"/>
        <item x="115"/>
        <item x="177"/>
        <item x="111"/>
        <item x="146"/>
        <item x="83"/>
        <item x="2"/>
        <item x="10"/>
        <item x="87"/>
        <item x="93"/>
        <item x="66"/>
        <item x="161"/>
        <item x="7"/>
        <item x="12"/>
        <item x="76"/>
        <item x="123"/>
        <item x="133"/>
        <item x="70"/>
        <item x="136"/>
        <item x="134"/>
        <item x="149"/>
        <item x="119"/>
        <item x="174"/>
        <item x="128"/>
        <item x="84"/>
        <item x="50"/>
        <item x="92"/>
        <item x="16"/>
        <item x="173"/>
        <item x="15"/>
        <item x="20"/>
        <item x="126"/>
        <item x="160"/>
        <item x="51"/>
        <item x="132"/>
        <item x="89"/>
        <item x="36"/>
        <item x="52"/>
        <item x="80"/>
        <item x="135"/>
        <item x="82"/>
        <item x="32"/>
        <item x="6"/>
        <item x="65"/>
        <item x="61"/>
        <item x="13"/>
        <item x="170"/>
        <item x="85"/>
        <item x="37"/>
        <item x="144"/>
        <item x="156"/>
        <item x="127"/>
        <item x="81"/>
        <item x="175"/>
        <item x="35"/>
        <item x="131"/>
        <item x="110"/>
        <item x="153"/>
        <item x="137"/>
        <item x="79"/>
        <item x="23"/>
        <item x="171"/>
        <item x="0"/>
        <item t="default"/>
      </items>
    </pivotField>
    <pivotField showAll="0"/>
    <pivotField dataField="1" showAll="0">
      <items count="179">
        <item x="32"/>
        <item x="174"/>
        <item x="127"/>
        <item x="73"/>
        <item x="67"/>
        <item x="137"/>
        <item x="49"/>
        <item x="92"/>
        <item x="138"/>
        <item x="68"/>
        <item x="17"/>
        <item x="139"/>
        <item x="22"/>
        <item x="5"/>
        <item x="62"/>
        <item x="98"/>
        <item x="19"/>
        <item x="11"/>
        <item x="14"/>
        <item x="115"/>
        <item x="111"/>
        <item x="95"/>
        <item x="24"/>
        <item x="30"/>
        <item x="71"/>
        <item x="159"/>
        <item x="117"/>
        <item x="55"/>
        <item x="112"/>
        <item x="4"/>
        <item x="27"/>
        <item x="28"/>
        <item x="38"/>
        <item x="108"/>
        <item x="172"/>
        <item x="157"/>
        <item x="177"/>
        <item x="97"/>
        <item x="161"/>
        <item x="96"/>
        <item x="140"/>
        <item x="106"/>
        <item x="84"/>
        <item x="141"/>
        <item x="3"/>
        <item x="113"/>
        <item x="34"/>
        <item x="39"/>
        <item x="175"/>
        <item x="54"/>
        <item x="45"/>
        <item x="63"/>
        <item x="155"/>
        <item x="26"/>
        <item x="169"/>
        <item x="136"/>
        <item x="165"/>
        <item x="57"/>
        <item x="120"/>
        <item x="18"/>
        <item x="86"/>
        <item x="93"/>
        <item x="162"/>
        <item x="151"/>
        <item x="144"/>
        <item x="66"/>
        <item x="168"/>
        <item x="118"/>
        <item x="148"/>
        <item x="33"/>
        <item x="29"/>
        <item x="146"/>
        <item x="99"/>
        <item x="102"/>
        <item x="94"/>
        <item x="147"/>
        <item x="76"/>
        <item x="105"/>
        <item x="56"/>
        <item x="153"/>
        <item x="44"/>
        <item x="119"/>
        <item x="104"/>
        <item x="1"/>
        <item x="176"/>
        <item x="128"/>
        <item x="160"/>
        <item x="75"/>
        <item x="173"/>
        <item x="41"/>
        <item x="43"/>
        <item x="89"/>
        <item x="72"/>
        <item x="107"/>
        <item x="61"/>
        <item x="100"/>
        <item x="21"/>
        <item x="48"/>
        <item x="74"/>
        <item x="122"/>
        <item x="25"/>
        <item x="40"/>
        <item x="154"/>
        <item x="158"/>
        <item x="70"/>
        <item x="101"/>
        <item x="58"/>
        <item x="143"/>
        <item x="59"/>
        <item x="53"/>
        <item x="88"/>
        <item x="103"/>
        <item x="123"/>
        <item x="8"/>
        <item x="171"/>
        <item x="42"/>
        <item x="46"/>
        <item x="170"/>
        <item x="47"/>
        <item x="150"/>
        <item x="116"/>
        <item x="31"/>
        <item x="110"/>
        <item x="114"/>
        <item x="16"/>
        <item x="121"/>
        <item x="9"/>
        <item x="2"/>
        <item x="91"/>
        <item x="20"/>
        <item x="85"/>
        <item x="10"/>
        <item x="81"/>
        <item x="134"/>
        <item x="130"/>
        <item x="7"/>
        <item x="82"/>
        <item x="65"/>
        <item x="50"/>
        <item x="156"/>
        <item x="69"/>
        <item x="131"/>
        <item x="52"/>
        <item x="51"/>
        <item x="126"/>
        <item x="132"/>
        <item x="12"/>
        <item x="166"/>
        <item x="145"/>
        <item x="167"/>
        <item x="87"/>
        <item x="90"/>
        <item x="124"/>
        <item x="78"/>
        <item x="15"/>
        <item x="6"/>
        <item x="80"/>
        <item x="36"/>
        <item x="60"/>
        <item x="133"/>
        <item x="13"/>
        <item x="37"/>
        <item x="152"/>
        <item x="64"/>
        <item x="83"/>
        <item x="163"/>
        <item x="142"/>
        <item x="125"/>
        <item x="79"/>
        <item x="129"/>
        <item x="149"/>
        <item x="109"/>
        <item x="35"/>
        <item x="135"/>
        <item x="77"/>
        <item x="164"/>
        <item x="23"/>
        <item x="0"/>
        <item t="default"/>
      </items>
    </pivotField>
    <pivotField showAll="0"/>
    <pivotField showAll="0"/>
    <pivotField showAll="0"/>
    <pivotField numFmtId="166" showAll="0">
      <items count="58">
        <item x="27"/>
        <item x="35"/>
        <item x="48"/>
        <item x="43"/>
        <item x="51"/>
        <item x="53"/>
        <item x="50"/>
        <item x="8"/>
        <item x="24"/>
        <item x="54"/>
        <item x="39"/>
        <item x="42"/>
        <item x="14"/>
        <item x="34"/>
        <item x="40"/>
        <item x="11"/>
        <item x="41"/>
        <item x="0"/>
        <item x="2"/>
        <item x="21"/>
        <item x="30"/>
        <item x="9"/>
        <item x="33"/>
        <item x="7"/>
        <item x="3"/>
        <item x="6"/>
        <item x="38"/>
        <item x="19"/>
        <item x="17"/>
        <item x="47"/>
        <item x="12"/>
        <item x="1"/>
        <item x="18"/>
        <item x="29"/>
        <item x="36"/>
        <item x="5"/>
        <item x="25"/>
        <item x="10"/>
        <item x="16"/>
        <item x="13"/>
        <item x="31"/>
        <item x="26"/>
        <item x="23"/>
        <item x="4"/>
        <item x="32"/>
        <item x="15"/>
        <item x="44"/>
        <item x="37"/>
        <item x="20"/>
        <item x="22"/>
        <item x="46"/>
        <item x="55"/>
        <item x="52"/>
        <item x="49"/>
        <item x="56"/>
        <item x="28"/>
        <item x="45"/>
        <item t="default"/>
      </items>
    </pivotField>
    <pivotField numFmtId="9" showAll="0"/>
    <pivotField numFmtId="9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11">
    <i>
      <x v="23"/>
    </i>
    <i>
      <x v="34"/>
    </i>
    <i>
      <x v="78"/>
    </i>
    <i>
      <x v="80"/>
    </i>
    <i>
      <x v="110"/>
    </i>
    <i>
      <x v="132"/>
    </i>
    <i>
      <x v="138"/>
    </i>
    <i>
      <x v="154"/>
    </i>
    <i>
      <x v="176"/>
    </i>
    <i>
      <x v="17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nfirmed" fld="1" baseField="0" baseItem="0"/>
    <dataField name="Sum of Recovered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52FA66-A79E-4614-9955-0460EF7A1F8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1" firstHeaderRow="1" firstDataRow="1" firstDataCol="1"/>
  <pivotFields count="17">
    <pivotField showAll="0"/>
    <pivotField dataField="1" showAll="0">
      <items count="185">
        <item x="180"/>
        <item x="75"/>
        <item x="68"/>
        <item x="139"/>
        <item x="49"/>
        <item x="94"/>
        <item x="69"/>
        <item x="140"/>
        <item x="59"/>
        <item x="17"/>
        <item x="141"/>
        <item x="129"/>
        <item x="5"/>
        <item x="19"/>
        <item x="14"/>
        <item x="147"/>
        <item x="112"/>
        <item x="24"/>
        <item x="168"/>
        <item x="30"/>
        <item x="55"/>
        <item x="113"/>
        <item x="63"/>
        <item x="109"/>
        <item x="27"/>
        <item x="38"/>
        <item x="28"/>
        <item x="11"/>
        <item x="73"/>
        <item x="179"/>
        <item x="163"/>
        <item x="97"/>
        <item x="165"/>
        <item x="162"/>
        <item x="142"/>
        <item x="107"/>
        <item x="22"/>
        <item x="86"/>
        <item x="143"/>
        <item x="167"/>
        <item x="3"/>
        <item x="34"/>
        <item x="4"/>
        <item x="45"/>
        <item x="26"/>
        <item x="172"/>
        <item x="122"/>
        <item x="64"/>
        <item x="98"/>
        <item x="88"/>
        <item x="176"/>
        <item x="95"/>
        <item x="169"/>
        <item x="159"/>
        <item x="120"/>
        <item x="181"/>
        <item x="116"/>
        <item x="18"/>
        <item x="148"/>
        <item x="117"/>
        <item x="78"/>
        <item x="138"/>
        <item x="72"/>
        <item x="100"/>
        <item x="56"/>
        <item x="151"/>
        <item x="150"/>
        <item x="155"/>
        <item x="57"/>
        <item x="29"/>
        <item x="106"/>
        <item x="44"/>
        <item x="183"/>
        <item x="157"/>
        <item x="99"/>
        <item x="114"/>
        <item x="54"/>
        <item x="152"/>
        <item x="39"/>
        <item x="166"/>
        <item x="105"/>
        <item x="121"/>
        <item x="103"/>
        <item x="96"/>
        <item x="67"/>
        <item x="77"/>
        <item x="130"/>
        <item x="182"/>
        <item x="33"/>
        <item x="1"/>
        <item x="43"/>
        <item x="48"/>
        <item x="108"/>
        <item x="101"/>
        <item x="71"/>
        <item x="62"/>
        <item x="164"/>
        <item x="74"/>
        <item x="60"/>
        <item x="91"/>
        <item x="40"/>
        <item x="104"/>
        <item x="125"/>
        <item x="102"/>
        <item x="145"/>
        <item x="124"/>
        <item x="21"/>
        <item x="25"/>
        <item x="158"/>
        <item x="47"/>
        <item x="154"/>
        <item x="58"/>
        <item x="53"/>
        <item x="8"/>
        <item x="46"/>
        <item x="42"/>
        <item x="41"/>
        <item x="178"/>
        <item x="31"/>
        <item x="90"/>
        <item x="118"/>
        <item x="9"/>
        <item x="115"/>
        <item x="177"/>
        <item x="111"/>
        <item x="146"/>
        <item x="83"/>
        <item x="2"/>
        <item x="10"/>
        <item x="87"/>
        <item x="93"/>
        <item x="66"/>
        <item x="161"/>
        <item x="7"/>
        <item x="12"/>
        <item x="76"/>
        <item x="123"/>
        <item x="133"/>
        <item x="70"/>
        <item x="136"/>
        <item x="134"/>
        <item x="149"/>
        <item x="119"/>
        <item x="174"/>
        <item x="128"/>
        <item x="84"/>
        <item x="50"/>
        <item x="92"/>
        <item x="16"/>
        <item x="173"/>
        <item x="15"/>
        <item x="20"/>
        <item x="126"/>
        <item x="160"/>
        <item x="51"/>
        <item x="132"/>
        <item x="89"/>
        <item x="36"/>
        <item x="52"/>
        <item x="80"/>
        <item x="135"/>
        <item x="82"/>
        <item x="32"/>
        <item x="6"/>
        <item x="65"/>
        <item x="61"/>
        <item x="13"/>
        <item x="170"/>
        <item x="85"/>
        <item x="37"/>
        <item x="144"/>
        <item x="156"/>
        <item x="127"/>
        <item x="81"/>
        <item x="175"/>
        <item x="35"/>
        <item x="131"/>
        <item x="110"/>
        <item x="153"/>
        <item x="137"/>
        <item x="79"/>
        <item x="23"/>
        <item x="171"/>
        <item x="0"/>
        <item t="default"/>
      </items>
    </pivotField>
    <pivotField showAll="0"/>
    <pivotField showAll="0"/>
    <pivotField showAll="0"/>
    <pivotField showAll="0"/>
    <pivotField showAll="0"/>
    <pivotField numFmtId="166" showAll="0">
      <items count="58">
        <item x="27"/>
        <item x="35"/>
        <item x="48"/>
        <item x="43"/>
        <item x="51"/>
        <item x="53"/>
        <item x="50"/>
        <item x="8"/>
        <item x="24"/>
        <item x="54"/>
        <item x="39"/>
        <item x="42"/>
        <item x="14"/>
        <item x="34"/>
        <item x="40"/>
        <item x="11"/>
        <item x="41"/>
        <item x="0"/>
        <item x="2"/>
        <item x="21"/>
        <item x="30"/>
        <item x="9"/>
        <item x="33"/>
        <item x="7"/>
        <item x="3"/>
        <item x="6"/>
        <item x="38"/>
        <item x="19"/>
        <item x="17"/>
        <item x="47"/>
        <item x="12"/>
        <item x="1"/>
        <item x="18"/>
        <item x="29"/>
        <item x="36"/>
        <item x="5"/>
        <item x="25"/>
        <item x="10"/>
        <item x="16"/>
        <item x="13"/>
        <item x="31"/>
        <item x="26"/>
        <item x="23"/>
        <item x="4"/>
        <item x="32"/>
        <item x="15"/>
        <item x="44"/>
        <item x="37"/>
        <item x="20"/>
        <item x="22"/>
        <item x="46"/>
        <item x="55"/>
        <item x="52"/>
        <item x="49"/>
        <item x="56"/>
        <item x="28"/>
        <item x="45"/>
        <item t="default"/>
      </items>
    </pivotField>
    <pivotField numFmtId="9" showAll="0"/>
    <pivotField numFmtId="9"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4"/>
  </rowFields>
  <rowItems count="8">
    <i>
      <x v="1"/>
    </i>
    <i>
      <x v="2"/>
    </i>
    <i>
      <x v="3"/>
    </i>
    <i>
      <x v="4"/>
    </i>
    <i>
      <x v="5"/>
    </i>
    <i>
      <x v="11"/>
    </i>
    <i>
      <x v="12"/>
    </i>
    <i t="grand">
      <x/>
    </i>
  </rowItems>
  <colItems count="1">
    <i/>
  </colItems>
  <dataFields count="1">
    <dataField name="Sum of Confirmed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BE0204-0510-43B2-A5C4-D8BE9D40B3C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10" firstHeaderRow="0" firstDataRow="1" firstDataCol="1"/>
  <pivotFields count="17">
    <pivotField showAll="0"/>
    <pivotField dataField="1" showAll="0">
      <items count="185">
        <item x="180"/>
        <item x="75"/>
        <item x="68"/>
        <item x="139"/>
        <item x="49"/>
        <item x="94"/>
        <item x="69"/>
        <item x="140"/>
        <item x="59"/>
        <item x="17"/>
        <item x="141"/>
        <item x="129"/>
        <item x="5"/>
        <item x="19"/>
        <item x="14"/>
        <item x="147"/>
        <item x="112"/>
        <item x="24"/>
        <item x="168"/>
        <item x="30"/>
        <item x="55"/>
        <item x="113"/>
        <item x="63"/>
        <item x="109"/>
        <item x="27"/>
        <item x="38"/>
        <item x="28"/>
        <item x="11"/>
        <item x="73"/>
        <item x="179"/>
        <item x="163"/>
        <item x="97"/>
        <item x="165"/>
        <item x="162"/>
        <item x="142"/>
        <item x="107"/>
        <item x="22"/>
        <item x="86"/>
        <item x="143"/>
        <item x="167"/>
        <item x="3"/>
        <item x="34"/>
        <item x="4"/>
        <item x="45"/>
        <item x="26"/>
        <item x="172"/>
        <item x="122"/>
        <item x="64"/>
        <item x="98"/>
        <item x="88"/>
        <item x="176"/>
        <item x="95"/>
        <item x="169"/>
        <item x="159"/>
        <item x="120"/>
        <item x="181"/>
        <item x="116"/>
        <item x="18"/>
        <item x="148"/>
        <item x="117"/>
        <item x="78"/>
        <item x="138"/>
        <item x="72"/>
        <item x="100"/>
        <item x="56"/>
        <item x="151"/>
        <item x="150"/>
        <item x="155"/>
        <item x="57"/>
        <item x="29"/>
        <item x="106"/>
        <item x="44"/>
        <item x="183"/>
        <item x="157"/>
        <item x="99"/>
        <item x="114"/>
        <item x="54"/>
        <item x="152"/>
        <item x="39"/>
        <item x="166"/>
        <item x="105"/>
        <item x="121"/>
        <item x="103"/>
        <item x="96"/>
        <item x="67"/>
        <item x="77"/>
        <item x="130"/>
        <item x="182"/>
        <item x="33"/>
        <item x="1"/>
        <item x="43"/>
        <item x="48"/>
        <item x="108"/>
        <item x="101"/>
        <item x="71"/>
        <item x="62"/>
        <item x="164"/>
        <item x="74"/>
        <item x="60"/>
        <item x="91"/>
        <item x="40"/>
        <item x="104"/>
        <item x="125"/>
        <item x="102"/>
        <item x="145"/>
        <item x="124"/>
        <item x="21"/>
        <item x="25"/>
        <item x="158"/>
        <item x="47"/>
        <item x="154"/>
        <item x="58"/>
        <item x="53"/>
        <item x="8"/>
        <item x="46"/>
        <item x="42"/>
        <item x="41"/>
        <item x="178"/>
        <item x="31"/>
        <item x="90"/>
        <item x="118"/>
        <item x="9"/>
        <item x="115"/>
        <item x="177"/>
        <item x="111"/>
        <item x="146"/>
        <item x="83"/>
        <item x="2"/>
        <item x="10"/>
        <item x="87"/>
        <item x="93"/>
        <item x="66"/>
        <item x="161"/>
        <item x="7"/>
        <item x="12"/>
        <item x="76"/>
        <item x="123"/>
        <item x="133"/>
        <item x="70"/>
        <item x="136"/>
        <item x="134"/>
        <item x="149"/>
        <item x="119"/>
        <item x="174"/>
        <item x="128"/>
        <item x="84"/>
        <item x="50"/>
        <item x="92"/>
        <item x="16"/>
        <item x="173"/>
        <item x="15"/>
        <item x="20"/>
        <item x="126"/>
        <item x="160"/>
        <item x="51"/>
        <item x="132"/>
        <item x="89"/>
        <item x="36"/>
        <item x="52"/>
        <item x="80"/>
        <item x="135"/>
        <item x="82"/>
        <item x="32"/>
        <item x="6"/>
        <item x="65"/>
        <item x="61"/>
        <item x="13"/>
        <item x="170"/>
        <item x="85"/>
        <item x="37"/>
        <item x="144"/>
        <item x="156"/>
        <item x="127"/>
        <item x="81"/>
        <item x="175"/>
        <item x="35"/>
        <item x="131"/>
        <item x="110"/>
        <item x="153"/>
        <item x="137"/>
        <item x="79"/>
        <item x="23"/>
        <item x="171"/>
        <item x="0"/>
        <item t="default"/>
      </items>
    </pivotField>
    <pivotField dataField="1" showAll="0">
      <items count="151">
        <item x="19"/>
        <item x="26"/>
        <item x="17"/>
        <item x="5"/>
        <item x="96"/>
        <item x="115"/>
        <item x="25"/>
        <item x="14"/>
        <item x="56"/>
        <item x="92"/>
        <item x="68"/>
        <item x="11"/>
        <item x="83"/>
        <item x="117"/>
        <item x="91"/>
        <item x="57"/>
        <item x="137"/>
        <item x="41"/>
        <item x="64"/>
        <item x="136"/>
        <item x="27"/>
        <item x="131"/>
        <item x="63"/>
        <item x="122"/>
        <item x="123"/>
        <item x="82"/>
        <item x="51"/>
        <item x="18"/>
        <item x="149"/>
        <item x="134"/>
        <item x="4"/>
        <item x="116"/>
        <item x="107"/>
        <item x="62"/>
        <item x="128"/>
        <item x="98"/>
        <item x="55"/>
        <item x="138"/>
        <item x="49"/>
        <item x="3"/>
        <item x="24"/>
        <item x="35"/>
        <item x="44"/>
        <item x="30"/>
        <item x="135"/>
        <item x="85"/>
        <item x="121"/>
        <item x="50"/>
        <item x="84"/>
        <item x="31"/>
        <item x="146"/>
        <item x="86"/>
        <item x="40"/>
        <item x="88"/>
        <item x="125"/>
        <item x="38"/>
        <item x="89"/>
        <item x="100"/>
        <item x="87"/>
        <item x="37"/>
        <item x="124"/>
        <item x="144"/>
        <item x="90"/>
        <item x="39"/>
        <item x="148"/>
        <item x="12"/>
        <item x="1"/>
        <item x="145"/>
        <item x="93"/>
        <item x="65"/>
        <item x="112"/>
        <item x="8"/>
        <item x="59"/>
        <item x="79"/>
        <item x="119"/>
        <item x="60"/>
        <item x="36"/>
        <item x="52"/>
        <item x="103"/>
        <item x="78"/>
        <item x="21"/>
        <item x="127"/>
        <item x="97"/>
        <item x="53"/>
        <item x="142"/>
        <item x="23"/>
        <item x="42"/>
        <item x="28"/>
        <item x="104"/>
        <item x="48"/>
        <item x="10"/>
        <item x="80"/>
        <item x="102"/>
        <item x="74"/>
        <item x="147"/>
        <item x="15"/>
        <item x="120"/>
        <item x="77"/>
        <item x="67"/>
        <item x="43"/>
        <item x="7"/>
        <item x="9"/>
        <item x="130"/>
        <item x="95"/>
        <item x="101"/>
        <item x="76"/>
        <item x="45"/>
        <item x="2"/>
        <item x="66"/>
        <item x="81"/>
        <item x="106"/>
        <item x="141"/>
        <item x="110"/>
        <item x="111"/>
        <item x="61"/>
        <item x="73"/>
        <item x="109"/>
        <item x="133"/>
        <item x="113"/>
        <item x="20"/>
        <item x="118"/>
        <item x="13"/>
        <item x="6"/>
        <item x="72"/>
        <item x="47"/>
        <item x="33"/>
        <item x="70"/>
        <item x="46"/>
        <item x="139"/>
        <item x="132"/>
        <item x="105"/>
        <item x="99"/>
        <item x="126"/>
        <item x="34"/>
        <item x="29"/>
        <item x="58"/>
        <item x="32"/>
        <item x="16"/>
        <item x="114"/>
        <item x="71"/>
        <item x="108"/>
        <item x="129"/>
        <item x="54"/>
        <item x="69"/>
        <item x="75"/>
        <item x="94"/>
        <item x="143"/>
        <item x="22"/>
        <item x="140"/>
        <item x="0"/>
        <item t="default"/>
      </items>
    </pivotField>
    <pivotField dataField="1" showAll="0">
      <items count="179">
        <item x="32"/>
        <item x="174"/>
        <item x="127"/>
        <item x="73"/>
        <item x="67"/>
        <item x="137"/>
        <item x="49"/>
        <item x="92"/>
        <item x="138"/>
        <item x="68"/>
        <item x="17"/>
        <item x="139"/>
        <item x="22"/>
        <item x="5"/>
        <item x="62"/>
        <item x="98"/>
        <item x="19"/>
        <item x="11"/>
        <item x="14"/>
        <item x="115"/>
        <item x="111"/>
        <item x="95"/>
        <item x="24"/>
        <item x="30"/>
        <item x="71"/>
        <item x="159"/>
        <item x="117"/>
        <item x="55"/>
        <item x="112"/>
        <item x="4"/>
        <item x="27"/>
        <item x="28"/>
        <item x="38"/>
        <item x="108"/>
        <item x="172"/>
        <item x="157"/>
        <item x="177"/>
        <item x="97"/>
        <item x="161"/>
        <item x="96"/>
        <item x="140"/>
        <item x="106"/>
        <item x="84"/>
        <item x="141"/>
        <item x="3"/>
        <item x="113"/>
        <item x="34"/>
        <item x="39"/>
        <item x="175"/>
        <item x="54"/>
        <item x="45"/>
        <item x="63"/>
        <item x="155"/>
        <item x="26"/>
        <item x="169"/>
        <item x="136"/>
        <item x="165"/>
        <item x="57"/>
        <item x="120"/>
        <item x="18"/>
        <item x="86"/>
        <item x="93"/>
        <item x="162"/>
        <item x="151"/>
        <item x="144"/>
        <item x="66"/>
        <item x="168"/>
        <item x="118"/>
        <item x="148"/>
        <item x="33"/>
        <item x="29"/>
        <item x="146"/>
        <item x="99"/>
        <item x="102"/>
        <item x="94"/>
        <item x="147"/>
        <item x="76"/>
        <item x="105"/>
        <item x="56"/>
        <item x="153"/>
        <item x="44"/>
        <item x="119"/>
        <item x="104"/>
        <item x="1"/>
        <item x="176"/>
        <item x="128"/>
        <item x="160"/>
        <item x="75"/>
        <item x="173"/>
        <item x="41"/>
        <item x="43"/>
        <item x="89"/>
        <item x="72"/>
        <item x="107"/>
        <item x="61"/>
        <item x="100"/>
        <item x="21"/>
        <item x="48"/>
        <item x="74"/>
        <item x="122"/>
        <item x="25"/>
        <item x="40"/>
        <item x="154"/>
        <item x="158"/>
        <item x="70"/>
        <item x="101"/>
        <item x="58"/>
        <item x="143"/>
        <item x="59"/>
        <item x="53"/>
        <item x="88"/>
        <item x="103"/>
        <item x="123"/>
        <item x="8"/>
        <item x="171"/>
        <item x="42"/>
        <item x="46"/>
        <item x="170"/>
        <item x="47"/>
        <item x="150"/>
        <item x="116"/>
        <item x="31"/>
        <item x="110"/>
        <item x="114"/>
        <item x="16"/>
        <item x="121"/>
        <item x="9"/>
        <item x="2"/>
        <item x="91"/>
        <item x="20"/>
        <item x="85"/>
        <item x="10"/>
        <item x="81"/>
        <item x="134"/>
        <item x="130"/>
        <item x="7"/>
        <item x="82"/>
        <item x="65"/>
        <item x="50"/>
        <item x="156"/>
        <item x="69"/>
        <item x="131"/>
        <item x="52"/>
        <item x="51"/>
        <item x="126"/>
        <item x="132"/>
        <item x="12"/>
        <item x="166"/>
        <item x="145"/>
        <item x="167"/>
        <item x="87"/>
        <item x="90"/>
        <item x="124"/>
        <item x="78"/>
        <item x="15"/>
        <item x="6"/>
        <item x="80"/>
        <item x="36"/>
        <item x="60"/>
        <item x="133"/>
        <item x="13"/>
        <item x="37"/>
        <item x="152"/>
        <item x="64"/>
        <item x="83"/>
        <item x="163"/>
        <item x="142"/>
        <item x="125"/>
        <item x="79"/>
        <item x="129"/>
        <item x="149"/>
        <item x="109"/>
        <item x="35"/>
        <item x="135"/>
        <item x="77"/>
        <item x="164"/>
        <item x="23"/>
        <item x="0"/>
        <item t="default"/>
      </items>
    </pivotField>
    <pivotField dataField="1" showAll="0">
      <items count="174">
        <item x="24"/>
        <item x="65"/>
        <item x="104"/>
        <item x="94"/>
        <item x="107"/>
        <item x="14"/>
        <item x="157"/>
        <item x="19"/>
        <item x="152"/>
        <item x="5"/>
        <item x="37"/>
        <item x="17"/>
        <item x="73"/>
        <item x="47"/>
        <item x="102"/>
        <item x="116"/>
        <item x="33"/>
        <item x="54"/>
        <item x="123"/>
        <item x="3"/>
        <item x="168"/>
        <item x="108"/>
        <item x="53"/>
        <item x="137"/>
        <item x="27"/>
        <item x="29"/>
        <item x="43"/>
        <item x="133"/>
        <item x="26"/>
        <item x="83"/>
        <item x="119"/>
        <item x="155"/>
        <item x="81"/>
        <item x="161"/>
        <item x="89"/>
        <item x="57"/>
        <item x="99"/>
        <item x="69"/>
        <item x="44"/>
        <item x="61"/>
        <item x="165"/>
        <item x="141"/>
        <item x="158"/>
        <item x="156"/>
        <item x="60"/>
        <item x="11"/>
        <item x="154"/>
        <item x="95"/>
        <item x="91"/>
        <item x="170"/>
        <item x="138"/>
        <item x="92"/>
        <item x="101"/>
        <item x="72"/>
        <item x="149"/>
        <item x="140"/>
        <item x="46"/>
        <item x="151"/>
        <item x="4"/>
        <item x="147"/>
        <item x="22"/>
        <item x="18"/>
        <item x="67"/>
        <item x="28"/>
        <item x="78"/>
        <item x="42"/>
        <item x="100"/>
        <item x="115"/>
        <item x="144"/>
        <item x="132"/>
        <item x="145"/>
        <item x="68"/>
        <item x="153"/>
        <item x="55"/>
        <item x="96"/>
        <item x="103"/>
        <item x="142"/>
        <item x="171"/>
        <item x="9"/>
        <item x="124"/>
        <item x="111"/>
        <item x="112"/>
        <item x="98"/>
        <item x="1"/>
        <item x="109"/>
        <item x="90"/>
        <item x="172"/>
        <item x="52"/>
        <item x="30"/>
        <item x="93"/>
        <item x="38"/>
        <item x="59"/>
        <item x="64"/>
        <item x="70"/>
        <item x="39"/>
        <item x="32"/>
        <item x="135"/>
        <item x="129"/>
        <item x="86"/>
        <item x="12"/>
        <item x="35"/>
        <item x="97"/>
        <item x="63"/>
        <item x="45"/>
        <item x="110"/>
        <item x="118"/>
        <item x="25"/>
        <item x="148"/>
        <item x="113"/>
        <item x="139"/>
        <item x="41"/>
        <item x="21"/>
        <item x="8"/>
        <item x="167"/>
        <item x="15"/>
        <item x="106"/>
        <item x="163"/>
        <item x="10"/>
        <item x="169"/>
        <item x="51"/>
        <item x="62"/>
        <item x="56"/>
        <item x="2"/>
        <item x="82"/>
        <item x="127"/>
        <item x="87"/>
        <item x="166"/>
        <item x="85"/>
        <item x="7"/>
        <item x="88"/>
        <item x="159"/>
        <item x="66"/>
        <item x="40"/>
        <item x="80"/>
        <item x="128"/>
        <item x="130"/>
        <item x="34"/>
        <item x="120"/>
        <item x="117"/>
        <item x="76"/>
        <item x="136"/>
        <item x="122"/>
        <item x="121"/>
        <item x="162"/>
        <item x="84"/>
        <item x="77"/>
        <item x="48"/>
        <item x="71"/>
        <item x="79"/>
        <item x="75"/>
        <item x="16"/>
        <item x="49"/>
        <item x="134"/>
        <item x="20"/>
        <item x="114"/>
        <item x="105"/>
        <item x="50"/>
        <item x="126"/>
        <item x="150"/>
        <item x="6"/>
        <item x="146"/>
        <item x="13"/>
        <item x="125"/>
        <item x="31"/>
        <item x="58"/>
        <item x="36"/>
        <item x="143"/>
        <item x="131"/>
        <item x="164"/>
        <item x="74"/>
        <item x="23"/>
        <item x="160"/>
        <item x="0"/>
        <item t="default"/>
      </items>
    </pivotField>
    <pivotField showAll="0"/>
    <pivotField axis="axisRow" showAll="0">
      <items count="7">
        <item x="2"/>
        <item x="0"/>
        <item x="5"/>
        <item x="1"/>
        <item x="3"/>
        <item x="4"/>
        <item t="default"/>
      </items>
    </pivotField>
    <pivotField numFmtId="166" showAll="0">
      <items count="58">
        <item x="27"/>
        <item x="35"/>
        <item x="48"/>
        <item x="43"/>
        <item x="51"/>
        <item x="53"/>
        <item x="50"/>
        <item x="8"/>
        <item x="24"/>
        <item x="54"/>
        <item x="39"/>
        <item x="42"/>
        <item x="14"/>
        <item x="34"/>
        <item x="40"/>
        <item x="11"/>
        <item x="41"/>
        <item x="0"/>
        <item x="2"/>
        <item x="21"/>
        <item x="30"/>
        <item x="9"/>
        <item x="33"/>
        <item x="7"/>
        <item x="3"/>
        <item x="6"/>
        <item x="38"/>
        <item x="19"/>
        <item x="17"/>
        <item x="47"/>
        <item x="12"/>
        <item x="1"/>
        <item x="18"/>
        <item x="29"/>
        <item x="36"/>
        <item x="5"/>
        <item x="25"/>
        <item x="10"/>
        <item x="16"/>
        <item x="13"/>
        <item x="31"/>
        <item x="26"/>
        <item x="23"/>
        <item x="4"/>
        <item x="32"/>
        <item x="15"/>
        <item x="44"/>
        <item x="37"/>
        <item x="20"/>
        <item x="22"/>
        <item x="46"/>
        <item x="55"/>
        <item x="52"/>
        <item x="49"/>
        <item x="56"/>
        <item x="28"/>
        <item x="45"/>
        <item t="default"/>
      </items>
    </pivotField>
    <pivotField numFmtId="9" showAll="0"/>
    <pivotField numFmtId="9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Recovered" fld="3" subtotal="count" baseField="0" baseItem="0"/>
    <dataField name="Count of Active" fld="4" subtotal="count" baseField="0" baseItem="0"/>
    <dataField name="Count of Deaths" fld="2" subtotal="count" baseField="0" baseItem="0"/>
    <dataField name="Count of Confirmed" fld="1" subtotal="count" baseField="0" baseItem="0"/>
  </dataFields>
  <chartFormats count="2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1"/>
          </reference>
          <reference field="6" count="1" selected="0">
            <x v="5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2"/>
          </reference>
          <reference field="6" count="1" selected="0">
            <x v="0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2"/>
          </reference>
          <reference field="6" count="1" selected="0">
            <x v="1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2"/>
          </reference>
          <reference field="6" count="1" selected="0">
            <x v="2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2"/>
          </reference>
          <reference field="6" count="1" selected="0">
            <x v="3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2"/>
          </reference>
          <reference field="6" count="1" selected="0">
            <x v="4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2"/>
          </reference>
          <reference field="6" count="1" selected="0">
            <x v="5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3"/>
          </reference>
          <reference field="6" count="1" selected="0">
            <x v="0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3"/>
          </reference>
          <reference field="6" count="1" selected="0">
            <x v="1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3"/>
          </reference>
          <reference field="6" count="1" selected="0">
            <x v="2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3"/>
          </reference>
          <reference field="6" count="1" selected="0">
            <x v="3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3"/>
          </reference>
          <reference field="6" count="1" selected="0">
            <x v="4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3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C37BDF-2451-4A5F-8331-58E6C89BCEF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1" firstHeaderRow="0" firstDataRow="1" firstDataCol="1"/>
  <pivotFields count="17">
    <pivotField showAll="0"/>
    <pivotField dataField="1" showAll="0">
      <items count="185">
        <item x="180"/>
        <item x="75"/>
        <item x="68"/>
        <item x="139"/>
        <item x="49"/>
        <item x="94"/>
        <item x="69"/>
        <item x="140"/>
        <item x="59"/>
        <item x="17"/>
        <item x="141"/>
        <item x="129"/>
        <item x="5"/>
        <item x="19"/>
        <item x="14"/>
        <item x="147"/>
        <item x="112"/>
        <item x="24"/>
        <item x="168"/>
        <item x="30"/>
        <item x="55"/>
        <item x="113"/>
        <item x="63"/>
        <item x="109"/>
        <item x="27"/>
        <item x="38"/>
        <item x="28"/>
        <item x="11"/>
        <item x="73"/>
        <item x="179"/>
        <item x="163"/>
        <item x="97"/>
        <item x="165"/>
        <item x="162"/>
        <item x="142"/>
        <item x="107"/>
        <item x="22"/>
        <item x="86"/>
        <item x="143"/>
        <item x="167"/>
        <item x="3"/>
        <item x="34"/>
        <item x="4"/>
        <item x="45"/>
        <item x="26"/>
        <item x="172"/>
        <item x="122"/>
        <item x="64"/>
        <item x="98"/>
        <item x="88"/>
        <item x="176"/>
        <item x="95"/>
        <item x="169"/>
        <item x="159"/>
        <item x="120"/>
        <item x="181"/>
        <item x="116"/>
        <item x="18"/>
        <item x="148"/>
        <item x="117"/>
        <item x="78"/>
        <item x="138"/>
        <item x="72"/>
        <item x="100"/>
        <item x="56"/>
        <item x="151"/>
        <item x="150"/>
        <item x="155"/>
        <item x="57"/>
        <item x="29"/>
        <item x="106"/>
        <item x="44"/>
        <item x="183"/>
        <item x="157"/>
        <item x="99"/>
        <item x="114"/>
        <item x="54"/>
        <item x="152"/>
        <item x="39"/>
        <item x="166"/>
        <item x="105"/>
        <item x="121"/>
        <item x="103"/>
        <item x="96"/>
        <item x="67"/>
        <item x="77"/>
        <item x="130"/>
        <item x="182"/>
        <item x="33"/>
        <item x="1"/>
        <item x="43"/>
        <item x="48"/>
        <item x="108"/>
        <item x="101"/>
        <item x="71"/>
        <item x="62"/>
        <item x="164"/>
        <item x="74"/>
        <item x="60"/>
        <item x="91"/>
        <item x="40"/>
        <item x="104"/>
        <item x="125"/>
        <item x="102"/>
        <item x="145"/>
        <item x="124"/>
        <item x="21"/>
        <item x="25"/>
        <item x="158"/>
        <item x="47"/>
        <item x="154"/>
        <item x="58"/>
        <item x="53"/>
        <item x="8"/>
        <item x="46"/>
        <item x="42"/>
        <item x="41"/>
        <item x="178"/>
        <item x="31"/>
        <item x="90"/>
        <item x="118"/>
        <item x="9"/>
        <item x="115"/>
        <item x="177"/>
        <item x="111"/>
        <item x="146"/>
        <item x="83"/>
        <item x="2"/>
        <item x="10"/>
        <item x="87"/>
        <item x="93"/>
        <item x="66"/>
        <item x="161"/>
        <item x="7"/>
        <item x="12"/>
        <item x="76"/>
        <item x="123"/>
        <item x="133"/>
        <item x="70"/>
        <item x="136"/>
        <item x="134"/>
        <item x="149"/>
        <item x="119"/>
        <item x="174"/>
        <item x="128"/>
        <item x="84"/>
        <item x="50"/>
        <item x="92"/>
        <item x="16"/>
        <item x="173"/>
        <item x="15"/>
        <item x="20"/>
        <item x="126"/>
        <item x="160"/>
        <item x="51"/>
        <item x="132"/>
        <item x="89"/>
        <item x="36"/>
        <item x="52"/>
        <item x="80"/>
        <item x="135"/>
        <item x="82"/>
        <item x="32"/>
        <item x="6"/>
        <item x="65"/>
        <item x="61"/>
        <item x="13"/>
        <item x="170"/>
        <item x="85"/>
        <item x="37"/>
        <item x="144"/>
        <item x="156"/>
        <item x="127"/>
        <item x="81"/>
        <item x="175"/>
        <item x="35"/>
        <item x="131"/>
        <item x="110"/>
        <item x="153"/>
        <item x="137"/>
        <item x="79"/>
        <item x="23"/>
        <item x="171"/>
        <item x="0"/>
        <item t="default"/>
      </items>
    </pivotField>
    <pivotField showAll="0">
      <items count="151">
        <item x="19"/>
        <item x="26"/>
        <item x="17"/>
        <item x="5"/>
        <item x="96"/>
        <item x="115"/>
        <item x="25"/>
        <item x="14"/>
        <item x="56"/>
        <item x="92"/>
        <item x="68"/>
        <item x="11"/>
        <item x="83"/>
        <item x="117"/>
        <item x="91"/>
        <item x="57"/>
        <item x="137"/>
        <item x="41"/>
        <item x="64"/>
        <item x="136"/>
        <item x="27"/>
        <item x="131"/>
        <item x="63"/>
        <item x="122"/>
        <item x="123"/>
        <item x="82"/>
        <item x="51"/>
        <item x="18"/>
        <item x="149"/>
        <item x="134"/>
        <item x="4"/>
        <item x="116"/>
        <item x="107"/>
        <item x="62"/>
        <item x="128"/>
        <item x="98"/>
        <item x="55"/>
        <item x="138"/>
        <item x="49"/>
        <item x="3"/>
        <item x="24"/>
        <item x="35"/>
        <item x="44"/>
        <item x="30"/>
        <item x="135"/>
        <item x="85"/>
        <item x="121"/>
        <item x="50"/>
        <item x="84"/>
        <item x="31"/>
        <item x="146"/>
        <item x="86"/>
        <item x="40"/>
        <item x="88"/>
        <item x="125"/>
        <item x="38"/>
        <item x="89"/>
        <item x="100"/>
        <item x="87"/>
        <item x="37"/>
        <item x="124"/>
        <item x="144"/>
        <item x="90"/>
        <item x="39"/>
        <item x="148"/>
        <item x="12"/>
        <item x="1"/>
        <item x="145"/>
        <item x="93"/>
        <item x="65"/>
        <item x="112"/>
        <item x="8"/>
        <item x="59"/>
        <item x="79"/>
        <item x="119"/>
        <item x="60"/>
        <item x="36"/>
        <item x="52"/>
        <item x="103"/>
        <item x="78"/>
        <item x="21"/>
        <item x="127"/>
        <item x="97"/>
        <item x="53"/>
        <item x="142"/>
        <item x="23"/>
        <item x="42"/>
        <item x="28"/>
        <item x="104"/>
        <item x="48"/>
        <item x="10"/>
        <item x="80"/>
        <item x="102"/>
        <item x="74"/>
        <item x="147"/>
        <item x="15"/>
        <item x="120"/>
        <item x="77"/>
        <item x="67"/>
        <item x="43"/>
        <item x="7"/>
        <item x="9"/>
        <item x="130"/>
        <item x="95"/>
        <item x="101"/>
        <item x="76"/>
        <item x="45"/>
        <item x="2"/>
        <item x="66"/>
        <item x="81"/>
        <item x="106"/>
        <item x="141"/>
        <item x="110"/>
        <item x="111"/>
        <item x="61"/>
        <item x="73"/>
        <item x="109"/>
        <item x="133"/>
        <item x="113"/>
        <item x="20"/>
        <item x="118"/>
        <item x="13"/>
        <item x="6"/>
        <item x="72"/>
        <item x="47"/>
        <item x="33"/>
        <item x="70"/>
        <item x="46"/>
        <item x="139"/>
        <item x="132"/>
        <item x="105"/>
        <item x="99"/>
        <item x="126"/>
        <item x="34"/>
        <item x="29"/>
        <item x="58"/>
        <item x="32"/>
        <item x="16"/>
        <item x="114"/>
        <item x="71"/>
        <item x="108"/>
        <item x="129"/>
        <item x="54"/>
        <item x="69"/>
        <item x="75"/>
        <item x="94"/>
        <item x="143"/>
        <item x="22"/>
        <item x="140"/>
        <item x="0"/>
        <item t="default"/>
      </items>
    </pivotField>
    <pivotField showAll="0"/>
    <pivotField showAll="0"/>
    <pivotField showAll="0"/>
    <pivotField showAll="0"/>
    <pivotField numFmtId="166" showAll="0">
      <items count="58">
        <item x="27"/>
        <item x="35"/>
        <item x="48"/>
        <item x="43"/>
        <item x="51"/>
        <item x="53"/>
        <item x="50"/>
        <item x="8"/>
        <item x="24"/>
        <item x="54"/>
        <item x="39"/>
        <item x="42"/>
        <item x="14"/>
        <item x="34"/>
        <item x="40"/>
        <item x="11"/>
        <item x="41"/>
        <item x="0"/>
        <item x="2"/>
        <item x="21"/>
        <item x="30"/>
        <item x="9"/>
        <item x="33"/>
        <item x="7"/>
        <item x="3"/>
        <item x="6"/>
        <item x="38"/>
        <item x="19"/>
        <item x="17"/>
        <item x="47"/>
        <item x="12"/>
        <item x="1"/>
        <item x="18"/>
        <item x="29"/>
        <item x="36"/>
        <item x="5"/>
        <item x="25"/>
        <item x="10"/>
        <item x="16"/>
        <item x="13"/>
        <item x="31"/>
        <item x="26"/>
        <item x="23"/>
        <item x="4"/>
        <item x="32"/>
        <item x="15"/>
        <item x="44"/>
        <item x="37"/>
        <item x="20"/>
        <item x="22"/>
        <item x="46"/>
        <item x="55"/>
        <item x="52"/>
        <item x="49"/>
        <item x="56"/>
        <item x="28"/>
        <item x="45"/>
        <item t="default"/>
      </items>
    </pivotField>
    <pivotField dataField="1" numFmtId="9" showAll="0"/>
    <pivotField numFmtId="9"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14"/>
  </rowFields>
  <rowItems count="8">
    <i>
      <x v="1"/>
    </i>
    <i>
      <x v="2"/>
    </i>
    <i>
      <x v="3"/>
    </i>
    <i>
      <x v="4"/>
    </i>
    <i>
      <x v="5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onfirmed" fld="1" subtotal="count" baseField="0" baseItem="0"/>
    <dataField name="Count of DEATH REATE" fld="8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750982-86E1-47A0-9976-16BDD9B589AE}" name="Table1" displayName="Table1" ref="A22:I27" totalsRowShown="0" headerRowBorderDxfId="19" tableBorderDxfId="18" totalsRowBorderDxfId="17">
  <autoFilter ref="A22:I27" xr:uid="{28750982-86E1-47A0-9976-16BDD9B589AE}"/>
  <tableColumns count="9">
    <tableColumn id="1" xr3:uid="{57B8A7EF-AFE4-4B13-9C54-EC1633D4111A}" name=" CUSTOMER ID" dataDxfId="16"/>
    <tableColumn id="2" xr3:uid="{05EBDF41-F109-41DA-A621-B16603A4ADFD}" name="Date" dataDxfId="15"/>
    <tableColumn id="3" xr3:uid="{3BB25581-FB99-495D-BAD2-A1C754938D20}" name="Product" dataDxfId="14"/>
    <tableColumn id="4" xr3:uid="{AAE97DA3-6255-423C-AD57-EA2245D84F1A}" name="Category" dataDxfId="13"/>
    <tableColumn id="5" xr3:uid="{3F6AA7CD-B00D-4F89-8D38-3476269BB325}" name="Quantity" dataDxfId="12" dataCellStyle="Comma 2"/>
    <tableColumn id="6" xr3:uid="{D1067C85-CD6D-46C1-A8BA-8BB67E5B90F1}" name="Unit Price" dataDxfId="11"/>
    <tableColumn id="7" xr3:uid="{1EC45619-1CAE-44D1-AB83-4687E0999801}" name="Region" dataDxfId="10"/>
    <tableColumn id="8" xr3:uid="{7D128320-F6F1-4C39-B27B-A58D23C2E2B0}" name="Salesperson" dataDxfId="9"/>
    <tableColumn id="9" xr3:uid="{C56B06DF-B09B-4712-B278-F4E114203823}" name="TOTAL SALES" dataDxfId="8">
      <calculatedColumnFormula>E23*F23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B168E-E4A3-4D25-8BC6-7D4C0E1754E9}">
  <dimension ref="A3:C14"/>
  <sheetViews>
    <sheetView workbookViewId="0">
      <selection activeCell="C4" sqref="C4"/>
    </sheetView>
  </sheetViews>
  <sheetFormatPr defaultRowHeight="14.4" x14ac:dyDescent="0.3"/>
  <cols>
    <col min="1" max="1" width="14" bestFit="1" customWidth="1"/>
    <col min="2" max="3" width="16.44140625" bestFit="1" customWidth="1"/>
  </cols>
  <sheetData>
    <row r="3" spans="1:3" x14ac:dyDescent="0.3">
      <c r="A3" s="71" t="s">
        <v>0</v>
      </c>
      <c r="B3" t="s">
        <v>1</v>
      </c>
      <c r="C3" t="s">
        <v>2</v>
      </c>
    </row>
    <row r="4" spans="1:3" x14ac:dyDescent="0.3">
      <c r="A4" s="72" t="s">
        <v>3</v>
      </c>
      <c r="B4">
        <v>2442375</v>
      </c>
      <c r="C4">
        <v>1846641</v>
      </c>
    </row>
    <row r="5" spans="1:3" x14ac:dyDescent="0.3">
      <c r="A5" s="72" t="s">
        <v>4</v>
      </c>
      <c r="B5">
        <v>347923</v>
      </c>
      <c r="C5">
        <v>319954</v>
      </c>
    </row>
    <row r="6" spans="1:3" x14ac:dyDescent="0.3">
      <c r="A6" s="72" t="s">
        <v>5</v>
      </c>
      <c r="B6">
        <v>1480073</v>
      </c>
      <c r="C6">
        <v>951166</v>
      </c>
    </row>
    <row r="7" spans="1:3" x14ac:dyDescent="0.3">
      <c r="A7" s="72" t="s">
        <v>6</v>
      </c>
      <c r="B7">
        <v>293606</v>
      </c>
      <c r="C7">
        <v>255144</v>
      </c>
    </row>
    <row r="8" spans="1:3" x14ac:dyDescent="0.3">
      <c r="A8" s="72" t="s">
        <v>7</v>
      </c>
      <c r="B8">
        <v>395489</v>
      </c>
      <c r="C8">
        <v>303810</v>
      </c>
    </row>
    <row r="9" spans="1:3" x14ac:dyDescent="0.3">
      <c r="A9" s="72" t="s">
        <v>8</v>
      </c>
      <c r="B9">
        <v>389717</v>
      </c>
      <c r="C9">
        <v>272547</v>
      </c>
    </row>
    <row r="10" spans="1:3" x14ac:dyDescent="0.3">
      <c r="A10" s="72" t="s">
        <v>9</v>
      </c>
      <c r="B10">
        <v>816680</v>
      </c>
      <c r="C10">
        <v>602249</v>
      </c>
    </row>
    <row r="11" spans="1:3" x14ac:dyDescent="0.3">
      <c r="A11" s="72" t="s">
        <v>10</v>
      </c>
      <c r="B11">
        <v>452529</v>
      </c>
      <c r="C11">
        <v>274925</v>
      </c>
    </row>
    <row r="12" spans="1:3" x14ac:dyDescent="0.3">
      <c r="A12" s="72" t="s">
        <v>11</v>
      </c>
      <c r="B12">
        <v>301708</v>
      </c>
      <c r="C12">
        <v>1437</v>
      </c>
    </row>
    <row r="13" spans="1:3" x14ac:dyDescent="0.3">
      <c r="A13" s="72" t="s">
        <v>12</v>
      </c>
      <c r="B13">
        <v>4290259</v>
      </c>
      <c r="C13">
        <v>1325804</v>
      </c>
    </row>
    <row r="14" spans="1:3" x14ac:dyDescent="0.3">
      <c r="A14" s="72" t="s">
        <v>13</v>
      </c>
      <c r="B14">
        <v>11210359</v>
      </c>
      <c r="C14">
        <v>6153677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DE8CF-0F6A-4260-9731-62E863BC095A}">
  <dimension ref="A3:B11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71" t="s">
        <v>0</v>
      </c>
      <c r="B3" t="s">
        <v>1</v>
      </c>
    </row>
    <row r="4" spans="1:2" x14ac:dyDescent="0.3">
      <c r="A4" s="72" t="s">
        <v>14</v>
      </c>
      <c r="B4">
        <v>8097972</v>
      </c>
    </row>
    <row r="5" spans="1:2" x14ac:dyDescent="0.3">
      <c r="A5" s="72" t="s">
        <v>15</v>
      </c>
      <c r="B5">
        <v>4529239</v>
      </c>
    </row>
    <row r="6" spans="1:2" x14ac:dyDescent="0.3">
      <c r="A6" s="72" t="s">
        <v>16</v>
      </c>
      <c r="B6">
        <v>3493247</v>
      </c>
    </row>
    <row r="7" spans="1:2" x14ac:dyDescent="0.3">
      <c r="A7" s="72" t="s">
        <v>17</v>
      </c>
      <c r="B7">
        <v>16124</v>
      </c>
    </row>
    <row r="8" spans="1:2" x14ac:dyDescent="0.3">
      <c r="A8" s="72" t="s">
        <v>18</v>
      </c>
      <c r="B8">
        <v>505</v>
      </c>
    </row>
    <row r="9" spans="1:2" x14ac:dyDescent="0.3">
      <c r="A9" s="72" t="s">
        <v>19</v>
      </c>
      <c r="B9">
        <v>86783</v>
      </c>
    </row>
    <row r="10" spans="1:2" x14ac:dyDescent="0.3">
      <c r="A10" s="72" t="s">
        <v>20</v>
      </c>
      <c r="B10">
        <v>220352</v>
      </c>
    </row>
    <row r="11" spans="1:2" x14ac:dyDescent="0.3">
      <c r="A11" s="72" t="s">
        <v>13</v>
      </c>
      <c r="B11">
        <v>16444222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391EC-42C9-48A3-9A64-788175C77E8A}">
  <dimension ref="A3:E10"/>
  <sheetViews>
    <sheetView workbookViewId="0">
      <selection activeCell="A20" sqref="A20"/>
    </sheetView>
  </sheetViews>
  <sheetFormatPr defaultRowHeight="14.4" x14ac:dyDescent="0.3"/>
  <cols>
    <col min="1" max="1" width="15.6640625" bestFit="1" customWidth="1"/>
    <col min="2" max="2" width="17.88671875" bestFit="1" customWidth="1"/>
    <col min="3" max="3" width="14.109375" bestFit="1" customWidth="1"/>
    <col min="4" max="4" width="14.6640625" bestFit="1" customWidth="1"/>
    <col min="5" max="5" width="17.88671875" bestFit="1" customWidth="1"/>
  </cols>
  <sheetData>
    <row r="3" spans="1:5" x14ac:dyDescent="0.3">
      <c r="A3" s="71" t="s">
        <v>0</v>
      </c>
      <c r="B3" t="s">
        <v>21</v>
      </c>
      <c r="C3" t="s">
        <v>22</v>
      </c>
      <c r="D3" t="s">
        <v>23</v>
      </c>
      <c r="E3" t="s">
        <v>24</v>
      </c>
    </row>
    <row r="4" spans="1:5" x14ac:dyDescent="0.3">
      <c r="A4" s="72" t="s">
        <v>25</v>
      </c>
      <c r="B4">
        <v>56</v>
      </c>
      <c r="C4">
        <v>56</v>
      </c>
      <c r="D4">
        <v>56</v>
      </c>
      <c r="E4">
        <v>56</v>
      </c>
    </row>
    <row r="5" spans="1:5" x14ac:dyDescent="0.3">
      <c r="A5" s="72" t="s">
        <v>26</v>
      </c>
      <c r="B5">
        <v>47</v>
      </c>
      <c r="C5">
        <v>47</v>
      </c>
      <c r="D5">
        <v>47</v>
      </c>
      <c r="E5">
        <v>47</v>
      </c>
    </row>
    <row r="6" spans="1:5" x14ac:dyDescent="0.3">
      <c r="A6" s="72" t="s">
        <v>27</v>
      </c>
      <c r="B6">
        <v>4</v>
      </c>
      <c r="C6">
        <v>4</v>
      </c>
      <c r="D6">
        <v>4</v>
      </c>
      <c r="E6">
        <v>4</v>
      </c>
    </row>
    <row r="7" spans="1:5" x14ac:dyDescent="0.3">
      <c r="A7" s="72" t="s">
        <v>28</v>
      </c>
      <c r="B7">
        <v>45</v>
      </c>
      <c r="C7">
        <v>45</v>
      </c>
      <c r="D7">
        <v>45</v>
      </c>
      <c r="E7">
        <v>45</v>
      </c>
    </row>
    <row r="8" spans="1:5" x14ac:dyDescent="0.3">
      <c r="A8" s="72" t="s">
        <v>29</v>
      </c>
      <c r="B8">
        <v>23</v>
      </c>
      <c r="C8">
        <v>23</v>
      </c>
      <c r="D8">
        <v>23</v>
      </c>
      <c r="E8">
        <v>23</v>
      </c>
    </row>
    <row r="9" spans="1:5" x14ac:dyDescent="0.3">
      <c r="A9" s="72" t="s">
        <v>30</v>
      </c>
      <c r="B9">
        <v>12</v>
      </c>
      <c r="C9">
        <v>12</v>
      </c>
      <c r="D9">
        <v>12</v>
      </c>
      <c r="E9">
        <v>12</v>
      </c>
    </row>
    <row r="10" spans="1:5" x14ac:dyDescent="0.3">
      <c r="A10" s="72" t="s">
        <v>13</v>
      </c>
      <c r="B10">
        <v>187</v>
      </c>
      <c r="C10">
        <v>187</v>
      </c>
      <c r="D10">
        <v>187</v>
      </c>
      <c r="E10">
        <v>187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FCB51-52D5-4C6C-AFE8-8BDF3AE7A280}">
  <dimension ref="A3:C11"/>
  <sheetViews>
    <sheetView zoomScale="72" workbookViewId="0">
      <selection activeCell="C4" sqref="C4"/>
    </sheetView>
  </sheetViews>
  <sheetFormatPr defaultRowHeight="14.4" x14ac:dyDescent="0.3"/>
  <cols>
    <col min="1" max="1" width="12.5546875" bestFit="1" customWidth="1"/>
    <col min="2" max="2" width="17.88671875" bestFit="1" customWidth="1"/>
    <col min="3" max="3" width="20.44140625" bestFit="1" customWidth="1"/>
    <col min="4" max="4" width="19.109375" bestFit="1" customWidth="1"/>
  </cols>
  <sheetData>
    <row r="3" spans="1:3" x14ac:dyDescent="0.3">
      <c r="A3" s="71" t="s">
        <v>0</v>
      </c>
      <c r="B3" t="s">
        <v>24</v>
      </c>
      <c r="C3" t="s">
        <v>31</v>
      </c>
    </row>
    <row r="4" spans="1:3" x14ac:dyDescent="0.3">
      <c r="A4" s="72" t="s">
        <v>14</v>
      </c>
      <c r="B4">
        <v>22</v>
      </c>
      <c r="C4">
        <v>22</v>
      </c>
    </row>
    <row r="5" spans="1:3" x14ac:dyDescent="0.3">
      <c r="A5" s="72" t="s">
        <v>15</v>
      </c>
      <c r="B5">
        <v>38</v>
      </c>
      <c r="C5">
        <v>38</v>
      </c>
    </row>
    <row r="6" spans="1:3" x14ac:dyDescent="0.3">
      <c r="A6" s="72" t="s">
        <v>16</v>
      </c>
      <c r="B6">
        <v>117</v>
      </c>
      <c r="C6">
        <v>117</v>
      </c>
    </row>
    <row r="7" spans="1:3" x14ac:dyDescent="0.3">
      <c r="A7" s="72" t="s">
        <v>17</v>
      </c>
      <c r="B7">
        <v>7</v>
      </c>
      <c r="C7">
        <v>7</v>
      </c>
    </row>
    <row r="8" spans="1:3" x14ac:dyDescent="0.3">
      <c r="A8" s="72" t="s">
        <v>18</v>
      </c>
      <c r="B8">
        <v>1</v>
      </c>
      <c r="C8">
        <v>1</v>
      </c>
    </row>
    <row r="9" spans="1:3" x14ac:dyDescent="0.3">
      <c r="A9" s="72" t="s">
        <v>19</v>
      </c>
      <c r="B9">
        <v>1</v>
      </c>
      <c r="C9">
        <v>1</v>
      </c>
    </row>
    <row r="10" spans="1:3" x14ac:dyDescent="0.3">
      <c r="A10" s="72" t="s">
        <v>20</v>
      </c>
      <c r="B10">
        <v>1</v>
      </c>
      <c r="C10">
        <v>1</v>
      </c>
    </row>
    <row r="11" spans="1:3" x14ac:dyDescent="0.3">
      <c r="A11" s="72" t="s">
        <v>13</v>
      </c>
      <c r="B11">
        <v>187</v>
      </c>
      <c r="C11">
        <v>187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61749-D2BF-4BCB-8670-DD512CCAAEFD}">
  <dimension ref="A1:Q188"/>
  <sheetViews>
    <sheetView zoomScale="59" workbookViewId="0">
      <selection activeCell="P2" sqref="P2"/>
    </sheetView>
  </sheetViews>
  <sheetFormatPr defaultRowHeight="14.4" x14ac:dyDescent="0.3"/>
  <cols>
    <col min="1" max="1" width="29.5546875" bestFit="1" customWidth="1"/>
    <col min="2" max="2" width="9.88671875" bestFit="1" customWidth="1"/>
    <col min="3" max="3" width="10.33203125" customWidth="1"/>
    <col min="4" max="4" width="12.109375" bestFit="1" customWidth="1"/>
    <col min="5" max="5" width="8.44140625" bestFit="1" customWidth="1"/>
    <col min="6" max="6" width="12.44140625" bestFit="1" customWidth="1"/>
    <col min="7" max="7" width="17" bestFit="1" customWidth="1"/>
    <col min="8" max="8" width="17.6640625" bestFit="1" customWidth="1"/>
    <col min="9" max="9" width="12.44140625" bestFit="1" customWidth="1"/>
    <col min="10" max="10" width="14.6640625" bestFit="1" customWidth="1"/>
    <col min="11" max="11" width="15" bestFit="1" customWidth="1"/>
    <col min="12" max="12" width="20.33203125" bestFit="1" customWidth="1"/>
    <col min="13" max="13" width="21.6640625" bestFit="1" customWidth="1"/>
    <col min="14" max="14" width="28.5546875" bestFit="1" customWidth="1"/>
    <col min="15" max="15" width="11.109375" bestFit="1" customWidth="1"/>
  </cols>
  <sheetData>
    <row r="1" spans="1:17" x14ac:dyDescent="0.3">
      <c r="A1" s="66" t="s">
        <v>32</v>
      </c>
      <c r="B1" s="66" t="s">
        <v>33</v>
      </c>
      <c r="C1" s="66" t="s">
        <v>34</v>
      </c>
      <c r="D1" s="66" t="s">
        <v>35</v>
      </c>
      <c r="E1" s="66" t="s">
        <v>36</v>
      </c>
      <c r="F1" s="67" t="s">
        <v>37</v>
      </c>
      <c r="G1" s="66" t="s">
        <v>38</v>
      </c>
      <c r="H1" s="68" t="s">
        <v>39</v>
      </c>
      <c r="I1" s="69" t="s">
        <v>40</v>
      </c>
      <c r="J1" s="69" t="s">
        <v>41</v>
      </c>
      <c r="K1" s="69" t="s">
        <v>42</v>
      </c>
      <c r="L1" s="69" t="s">
        <v>43</v>
      </c>
      <c r="M1" s="69" t="s">
        <v>44</v>
      </c>
      <c r="N1" s="69" t="s">
        <v>45</v>
      </c>
      <c r="O1" s="69" t="s">
        <v>46</v>
      </c>
      <c r="Q1" s="73" t="s">
        <v>47</v>
      </c>
    </row>
    <row r="2" spans="1:17" x14ac:dyDescent="0.3">
      <c r="A2" s="47" t="s">
        <v>48</v>
      </c>
      <c r="B2" s="48" t="s">
        <v>49</v>
      </c>
      <c r="C2" s="48" t="s">
        <v>50</v>
      </c>
      <c r="D2" s="48" t="s">
        <v>51</v>
      </c>
      <c r="E2" s="48" t="s">
        <v>52</v>
      </c>
      <c r="F2" s="48" t="s">
        <v>53</v>
      </c>
      <c r="G2" s="47" t="s">
        <v>26</v>
      </c>
      <c r="H2" s="49">
        <v>43885</v>
      </c>
      <c r="I2" s="70">
        <f>C2/B2</f>
        <v>3.4994346854920991E-2</v>
      </c>
      <c r="J2" s="70">
        <f>D2/B2</f>
        <v>0.69486804732096075</v>
      </c>
      <c r="K2" s="70">
        <f>B2/F2</f>
        <v>9.2959533622714516E-4</v>
      </c>
      <c r="L2" t="str" cm="1">
        <f t="array" ref="L2">_xlfn.IFS(I2&gt;5%,"HIGH RISK",I2&lt;2%,"LOW RISK",OR(I2&gt;2%,I2&lt;5%),"MODERATE RISK")</f>
        <v>MODERATE RISK</v>
      </c>
      <c r="M2" t="str" cm="1">
        <f t="array" ref="M2">_xlfn.IFS(I2&gt;5%,"HIGH RISK",AND(I2&gt;=2%,I2&lt;=5%),"MODERATE RISK",I2&lt;2%,"LOW RISK")</f>
        <v>MODERATE RISK</v>
      </c>
      <c r="N2" cm="1">
        <f t="array" ref="N2">_xlfn.IFS(M2="LOW RISK",1,M2="MODERATE RISK",2,M2="HIGH RISK",3)</f>
        <v>2</v>
      </c>
      <c r="O2">
        <f>VLOOKUP(O1,$A$1:$N$188,6,0)</f>
        <v>10148243</v>
      </c>
      <c r="P2" s="23" t="s">
        <v>54</v>
      </c>
    </row>
    <row r="3" spans="1:17" x14ac:dyDescent="0.3">
      <c r="A3" s="50" t="s">
        <v>55</v>
      </c>
      <c r="B3" s="51">
        <v>4880</v>
      </c>
      <c r="C3" s="51">
        <v>144</v>
      </c>
      <c r="D3" s="51">
        <v>2745</v>
      </c>
      <c r="E3" s="51">
        <v>1991</v>
      </c>
      <c r="F3" s="51">
        <v>2877470</v>
      </c>
      <c r="G3" s="50" t="s">
        <v>28</v>
      </c>
      <c r="H3" s="52">
        <v>43899</v>
      </c>
      <c r="I3" s="70">
        <f t="shared" ref="I3:I66" si="0">C3/B3</f>
        <v>2.9508196721311476E-2</v>
      </c>
      <c r="J3" s="70">
        <f t="shared" ref="J3:J66" si="1">D3/B3</f>
        <v>0.5625</v>
      </c>
      <c r="K3" s="70">
        <f t="shared" ref="K3:K66" si="2">B3/F3</f>
        <v>1.6959342755962703E-3</v>
      </c>
      <c r="L3" t="str" cm="1">
        <f t="array" ref="L3">_xlfn.IFS(I3&gt;5%,"HIGH RISK",I3&lt;2%,"LOW RISK",OR(I3&gt;2%,I3&lt;5%),"MODERATE RISK")</f>
        <v>MODERATE RISK</v>
      </c>
      <c r="M3" t="str" cm="1">
        <f t="array" ref="M3">_xlfn.IFS(I3&gt;5%,"HIGH RISK",AND(I3&gt;=2%,I3&lt;=5%),"MODERATE RISK",I3&lt;2%,"LOW RISK")</f>
        <v>MODERATE RISK</v>
      </c>
      <c r="N3" cm="1">
        <f t="array" ref="N3">_xlfn.IFS(M3="LOW RISK",1,M3="MODERATE RISK",2,M3="HIGH RISK",3)</f>
        <v>2</v>
      </c>
    </row>
    <row r="4" spans="1:17" x14ac:dyDescent="0.3">
      <c r="A4" s="47" t="s">
        <v>56</v>
      </c>
      <c r="B4" s="48">
        <v>27973</v>
      </c>
      <c r="C4" s="48">
        <v>1163</v>
      </c>
      <c r="D4" s="48">
        <v>18837</v>
      </c>
      <c r="E4" s="48">
        <v>7973</v>
      </c>
      <c r="F4" s="48">
        <v>43926079</v>
      </c>
      <c r="G4" s="47" t="s">
        <v>25</v>
      </c>
      <c r="H4" s="49">
        <v>43886</v>
      </c>
      <c r="I4" s="70">
        <f t="shared" si="0"/>
        <v>4.1575805240767885E-2</v>
      </c>
      <c r="J4" s="70">
        <f t="shared" si="1"/>
        <v>0.67339934937260926</v>
      </c>
      <c r="K4" s="70">
        <f t="shared" si="2"/>
        <v>6.3681987185790017E-4</v>
      </c>
      <c r="L4" t="str" cm="1">
        <f t="array" ref="L4">_xlfn.IFS(I4&gt;5%,"HIGH RISK",I4&lt;2%,"LOW RISK",OR(I4&gt;2%,I4&lt;5%),"MODERATE RISK")</f>
        <v>MODERATE RISK</v>
      </c>
      <c r="M4" t="str" cm="1">
        <f t="array" ref="M4">_xlfn.IFS(I4&gt;5%,"HIGH RISK",AND(I4&gt;=2%,I4&lt;=5%),"MODERATE RISK",I4&lt;2%,"LOW RISK")</f>
        <v>MODERATE RISK</v>
      </c>
      <c r="N4" cm="1">
        <f t="array" ref="N4">_xlfn.IFS(M4="LOW RISK",1,M4="MODERATE RISK",2,M4="HIGH RISK",3)</f>
        <v>2</v>
      </c>
    </row>
    <row r="5" spans="1:17" x14ac:dyDescent="0.3">
      <c r="A5" s="50" t="s">
        <v>57</v>
      </c>
      <c r="B5" s="51">
        <v>907</v>
      </c>
      <c r="C5" s="51">
        <v>52</v>
      </c>
      <c r="D5" s="51">
        <v>803</v>
      </c>
      <c r="E5" s="51">
        <v>52</v>
      </c>
      <c r="F5" s="51">
        <v>77278</v>
      </c>
      <c r="G5" s="50" t="s">
        <v>28</v>
      </c>
      <c r="H5" s="52">
        <v>43892</v>
      </c>
      <c r="I5" s="70">
        <f t="shared" si="0"/>
        <v>5.7331863285556783E-2</v>
      </c>
      <c r="J5" s="70">
        <f t="shared" si="1"/>
        <v>0.88533627342888643</v>
      </c>
      <c r="K5" s="70">
        <f t="shared" si="2"/>
        <v>1.1736846191671627E-2</v>
      </c>
      <c r="L5" t="str" cm="1">
        <f t="array" ref="L5">_xlfn.IFS(I5&gt;5%,"HIGH RISK",I5&lt;2%,"LOW RISK",OR(I5&gt;2%,I5&lt;5%),"MODERATE RISK")</f>
        <v>HIGH RISK</v>
      </c>
      <c r="M5" t="str" cm="1">
        <f t="array" ref="M5">_xlfn.IFS(I5&gt;5%,"HIGH RISK",AND(I5&gt;=2%,I5&lt;=5%),"MODERATE RISK",I5&lt;2%,"LOW RISK")</f>
        <v>HIGH RISK</v>
      </c>
      <c r="N5" cm="1">
        <f t="array" ref="N5">_xlfn.IFS(M5="LOW RISK",1,M5="MODERATE RISK",2,M5="HIGH RISK",3)</f>
        <v>3</v>
      </c>
    </row>
    <row r="6" spans="1:17" x14ac:dyDescent="0.3">
      <c r="A6" s="47" t="s">
        <v>58</v>
      </c>
      <c r="B6" s="48">
        <v>950</v>
      </c>
      <c r="C6" s="48">
        <v>41</v>
      </c>
      <c r="D6" s="48">
        <v>242</v>
      </c>
      <c r="E6" s="48">
        <v>667</v>
      </c>
      <c r="F6" s="48">
        <v>32956300</v>
      </c>
      <c r="G6" s="47" t="s">
        <v>25</v>
      </c>
      <c r="H6" s="49">
        <v>43911</v>
      </c>
      <c r="I6" s="70">
        <f t="shared" si="0"/>
        <v>4.3157894736842103E-2</v>
      </c>
      <c r="J6" s="70">
        <f t="shared" si="1"/>
        <v>0.25473684210526315</v>
      </c>
      <c r="K6" s="70">
        <f t="shared" si="2"/>
        <v>2.8826051468156317E-5</v>
      </c>
      <c r="L6" t="str" cm="1">
        <f t="array" ref="L6">_xlfn.IFS(I6&gt;5%,"HIGH RISK",I6&lt;2%,"LOW RISK",OR(I6&gt;2%,I6&lt;5%),"MODERATE RISK")</f>
        <v>MODERATE RISK</v>
      </c>
      <c r="M6" t="str" cm="1">
        <f t="array" ref="M6">_xlfn.IFS(I6&gt;5%,"HIGH RISK",AND(I6&gt;=2%,I6&lt;=5%),"MODERATE RISK",I6&lt;2%,"LOW RISK")</f>
        <v>MODERATE RISK</v>
      </c>
      <c r="N6" cm="1">
        <f t="array" ref="N6">_xlfn.IFS(M6="LOW RISK",1,M6="MODERATE RISK",2,M6="HIGH RISK",3)</f>
        <v>2</v>
      </c>
    </row>
    <row r="7" spans="1:17" x14ac:dyDescent="0.3">
      <c r="A7" s="50" t="s">
        <v>59</v>
      </c>
      <c r="B7" s="51">
        <v>86</v>
      </c>
      <c r="C7" s="51">
        <v>3</v>
      </c>
      <c r="D7" s="51">
        <v>65</v>
      </c>
      <c r="E7" s="51">
        <v>18</v>
      </c>
      <c r="F7" s="51">
        <v>98010</v>
      </c>
      <c r="G7" s="50" t="s">
        <v>29</v>
      </c>
      <c r="H7" s="52">
        <v>43903</v>
      </c>
      <c r="I7" s="70">
        <f t="shared" si="0"/>
        <v>3.4883720930232558E-2</v>
      </c>
      <c r="J7" s="70">
        <f t="shared" si="1"/>
        <v>0.7558139534883721</v>
      </c>
      <c r="K7" s="70">
        <f t="shared" si="2"/>
        <v>8.7746148352208962E-4</v>
      </c>
      <c r="L7" t="str" cm="1">
        <f t="array" ref="L7">_xlfn.IFS(I7&gt;5%,"HIGH RISK",I7&lt;2%,"LOW RISK",OR(I7&gt;2%,I7&lt;5%),"MODERATE RISK")</f>
        <v>MODERATE RISK</v>
      </c>
      <c r="M7" t="str" cm="1">
        <f t="array" ref="M7">_xlfn.IFS(I7&gt;5%,"HIGH RISK",AND(I7&gt;=2%,I7&lt;=5%),"MODERATE RISK",I7&lt;2%,"LOW RISK")</f>
        <v>MODERATE RISK</v>
      </c>
      <c r="N7" cm="1">
        <f t="array" ref="N7">_xlfn.IFS(M7="LOW RISK",1,M7="MODERATE RISK",2,M7="HIGH RISK",3)</f>
        <v>2</v>
      </c>
    </row>
    <row r="8" spans="1:17" x14ac:dyDescent="0.3">
      <c r="A8" s="47" t="s">
        <v>60</v>
      </c>
      <c r="B8" s="48">
        <v>167416</v>
      </c>
      <c r="C8" s="48">
        <v>3059</v>
      </c>
      <c r="D8" s="48">
        <v>72575</v>
      </c>
      <c r="E8" s="48">
        <v>91782</v>
      </c>
      <c r="F8" s="48">
        <v>45236884</v>
      </c>
      <c r="G8" s="47" t="s">
        <v>30</v>
      </c>
      <c r="H8" s="49">
        <v>43893</v>
      </c>
      <c r="I8" s="70">
        <f t="shared" si="0"/>
        <v>1.8271849763463469E-2</v>
      </c>
      <c r="J8" s="70">
        <f t="shared" si="1"/>
        <v>0.43350097959573758</v>
      </c>
      <c r="K8" s="70">
        <f t="shared" si="2"/>
        <v>3.7008738267649026E-3</v>
      </c>
      <c r="L8" t="str" cm="1">
        <f t="array" ref="L8">_xlfn.IFS(I8&gt;5%,"HIGH RISK",I8&lt;2%,"LOW RISK",OR(I8&gt;2%,I8&lt;5%),"MODERATE RISK")</f>
        <v>LOW RISK</v>
      </c>
      <c r="M8" t="str" cm="1">
        <f t="array" ref="M8">_xlfn.IFS(I8&gt;5%,"HIGH RISK",AND(I8&gt;=2%,I8&lt;=5%),"MODERATE RISK",I8&lt;2%,"LOW RISK")</f>
        <v>LOW RISK</v>
      </c>
      <c r="N8" cm="1">
        <f t="array" ref="N8">_xlfn.IFS(M8="LOW RISK",1,M8="MODERATE RISK",2,M8="HIGH RISK",3)</f>
        <v>1</v>
      </c>
    </row>
    <row r="9" spans="1:17" x14ac:dyDescent="0.3">
      <c r="A9" s="50" t="s">
        <v>61</v>
      </c>
      <c r="B9" s="51">
        <v>37390</v>
      </c>
      <c r="C9" s="51">
        <v>711</v>
      </c>
      <c r="D9" s="51">
        <v>26665</v>
      </c>
      <c r="E9" s="51">
        <v>10014</v>
      </c>
      <c r="F9" s="51">
        <v>2963811</v>
      </c>
      <c r="G9" s="50" t="s">
        <v>26</v>
      </c>
      <c r="H9" s="52">
        <v>43891</v>
      </c>
      <c r="I9" s="70">
        <f t="shared" si="0"/>
        <v>1.901577962021931E-2</v>
      </c>
      <c r="J9" s="70">
        <f t="shared" si="1"/>
        <v>0.71315859855576358</v>
      </c>
      <c r="K9" s="70">
        <f t="shared" si="2"/>
        <v>1.2615514282118529E-2</v>
      </c>
      <c r="L9" t="str" cm="1">
        <f t="array" ref="L9">_xlfn.IFS(I9&gt;5%,"HIGH RISK",I9&lt;2%,"LOW RISK",OR(I9&gt;2%,I9&lt;5%),"MODERATE RISK")</f>
        <v>LOW RISK</v>
      </c>
      <c r="M9" t="str" cm="1">
        <f t="array" ref="M9">_xlfn.IFS(I9&gt;5%,"HIGH RISK",AND(I9&gt;=2%,I9&lt;=5%),"MODERATE RISK",I9&lt;2%,"LOW RISK")</f>
        <v>LOW RISK</v>
      </c>
      <c r="N9" cm="1">
        <f t="array" ref="N9">_xlfn.IFS(M9="LOW RISK",1,M9="MODERATE RISK",2,M9="HIGH RISK",3)</f>
        <v>1</v>
      </c>
    </row>
    <row r="10" spans="1:17" x14ac:dyDescent="0.3">
      <c r="A10" s="47" t="s">
        <v>62</v>
      </c>
      <c r="B10" s="48">
        <v>15303</v>
      </c>
      <c r="C10" s="48">
        <v>167</v>
      </c>
      <c r="D10" s="48">
        <v>9311</v>
      </c>
      <c r="E10" s="48">
        <v>5825</v>
      </c>
      <c r="F10" s="48">
        <v>25528864</v>
      </c>
      <c r="G10" s="47" t="s">
        <v>27</v>
      </c>
      <c r="H10" s="49">
        <v>43855</v>
      </c>
      <c r="I10" s="70">
        <f t="shared" si="0"/>
        <v>1.0912892896817617E-2</v>
      </c>
      <c r="J10" s="70">
        <f t="shared" si="1"/>
        <v>0.60844278899562176</v>
      </c>
      <c r="K10" s="70">
        <f t="shared" si="2"/>
        <v>5.9943912897965216E-4</v>
      </c>
      <c r="L10" t="str" cm="1">
        <f t="array" ref="L10">_xlfn.IFS(I10&gt;5%,"HIGH RISK",I10&lt;2%,"LOW RISK",OR(I10&gt;2%,I10&lt;5%),"MODERATE RISK")</f>
        <v>LOW RISK</v>
      </c>
      <c r="M10" t="str" cm="1">
        <f t="array" ref="M10">_xlfn.IFS(I10&gt;5%,"HIGH RISK",AND(I10&gt;=2%,I10&lt;=5%),"MODERATE RISK",I10&lt;2%,"LOW RISK")</f>
        <v>LOW RISK</v>
      </c>
      <c r="N10" cm="1">
        <f t="array" ref="N10">_xlfn.IFS(M10="LOW RISK",1,M10="MODERATE RISK",2,M10="HIGH RISK",3)</f>
        <v>1</v>
      </c>
    </row>
    <row r="11" spans="1:17" x14ac:dyDescent="0.3">
      <c r="A11" s="50" t="s">
        <v>63</v>
      </c>
      <c r="B11" s="51">
        <v>20558</v>
      </c>
      <c r="C11" s="51">
        <v>713</v>
      </c>
      <c r="D11" s="51">
        <v>18246</v>
      </c>
      <c r="E11" s="51">
        <v>1599</v>
      </c>
      <c r="F11" s="51">
        <v>9011577</v>
      </c>
      <c r="G11" s="50" t="s">
        <v>28</v>
      </c>
      <c r="H11" s="52">
        <v>43886</v>
      </c>
      <c r="I11" s="70">
        <f t="shared" si="0"/>
        <v>3.4682362097480303E-2</v>
      </c>
      <c r="J11" s="70">
        <f t="shared" si="1"/>
        <v>0.88753769821967121</v>
      </c>
      <c r="K11" s="70">
        <f t="shared" si="2"/>
        <v>2.2812877257776302E-3</v>
      </c>
      <c r="L11" t="str" cm="1">
        <f t="array" ref="L11">_xlfn.IFS(I11&gt;5%,"HIGH RISK",I11&lt;2%,"LOW RISK",OR(I11&gt;2%,I11&lt;5%),"MODERATE RISK")</f>
        <v>MODERATE RISK</v>
      </c>
      <c r="M11" t="str" cm="1">
        <f t="array" ref="M11">_xlfn.IFS(I11&gt;5%,"HIGH RISK",AND(I11&gt;=2%,I11&lt;=5%),"MODERATE RISK",I11&lt;2%,"LOW RISK")</f>
        <v>MODERATE RISK</v>
      </c>
      <c r="N11" cm="1">
        <f t="array" ref="N11">_xlfn.IFS(M11="LOW RISK",1,M11="MODERATE RISK",2,M11="HIGH RISK",3)</f>
        <v>2</v>
      </c>
    </row>
    <row r="12" spans="1:17" x14ac:dyDescent="0.3">
      <c r="A12" s="47" t="s">
        <v>46</v>
      </c>
      <c r="B12" s="48">
        <v>30446</v>
      </c>
      <c r="C12" s="48">
        <v>423</v>
      </c>
      <c r="D12" s="48">
        <v>23242</v>
      </c>
      <c r="E12" s="48">
        <v>6781</v>
      </c>
      <c r="F12" s="48">
        <v>10148243</v>
      </c>
      <c r="G12" s="47" t="s">
        <v>26</v>
      </c>
      <c r="H12" s="49">
        <v>43889</v>
      </c>
      <c r="I12" s="70">
        <f t="shared" si="0"/>
        <v>1.389345069959929E-2</v>
      </c>
      <c r="J12" s="70">
        <f t="shared" si="1"/>
        <v>0.76338435262431847</v>
      </c>
      <c r="K12" s="70">
        <f t="shared" si="2"/>
        <v>3.0001252433549336E-3</v>
      </c>
      <c r="L12" t="str" cm="1">
        <f t="array" ref="L12">_xlfn.IFS(I12&gt;5%,"HIGH RISK",I12&lt;2%,"LOW RISK",OR(I12&gt;2%,I12&lt;5%),"MODERATE RISK")</f>
        <v>LOW RISK</v>
      </c>
      <c r="M12" t="str" cm="1">
        <f t="array" ref="M12">_xlfn.IFS(I12&gt;5%,"HIGH RISK",AND(I12&gt;=2%,I12&lt;=5%),"MODERATE RISK",I12&lt;2%,"LOW RISK")</f>
        <v>LOW RISK</v>
      </c>
      <c r="N12" cm="1">
        <f t="array" ref="N12">_xlfn.IFS(M12="LOW RISK",1,M12="MODERATE RISK",2,M12="HIGH RISK",3)</f>
        <v>1</v>
      </c>
    </row>
    <row r="13" spans="1:17" x14ac:dyDescent="0.3">
      <c r="A13" s="50" t="s">
        <v>64</v>
      </c>
      <c r="B13" s="51">
        <v>382</v>
      </c>
      <c r="C13" s="51">
        <v>11</v>
      </c>
      <c r="D13" s="51">
        <v>91</v>
      </c>
      <c r="E13" s="51">
        <v>280</v>
      </c>
      <c r="F13" s="51">
        <v>393616</v>
      </c>
      <c r="G13" s="50" t="s">
        <v>29</v>
      </c>
      <c r="H13" s="52">
        <v>43905</v>
      </c>
      <c r="I13" s="70">
        <f t="shared" si="0"/>
        <v>2.8795811518324606E-2</v>
      </c>
      <c r="J13" s="70">
        <f t="shared" si="1"/>
        <v>0.23821989528795812</v>
      </c>
      <c r="K13" s="70">
        <f t="shared" si="2"/>
        <v>9.7048900451201169E-4</v>
      </c>
      <c r="L13" t="str" cm="1">
        <f t="array" ref="L13">_xlfn.IFS(I13&gt;5%,"HIGH RISK",I13&lt;2%,"LOW RISK",OR(I13&gt;2%,I13&lt;5%),"MODERATE RISK")</f>
        <v>MODERATE RISK</v>
      </c>
      <c r="M13" t="str" cm="1">
        <f t="array" ref="M13">_xlfn.IFS(I13&gt;5%,"HIGH RISK",AND(I13&gt;=2%,I13&lt;=5%),"MODERATE RISK",I13&lt;2%,"LOW RISK")</f>
        <v>MODERATE RISK</v>
      </c>
      <c r="N13" cm="1">
        <f t="array" ref="N13">_xlfn.IFS(M13="LOW RISK",1,M13="MODERATE RISK",2,M13="HIGH RISK",3)</f>
        <v>2</v>
      </c>
    </row>
    <row r="14" spans="1:17" x14ac:dyDescent="0.3">
      <c r="A14" s="47" t="s">
        <v>65</v>
      </c>
      <c r="B14" s="48">
        <v>39482</v>
      </c>
      <c r="C14" s="48">
        <v>141</v>
      </c>
      <c r="D14" s="48">
        <v>36110</v>
      </c>
      <c r="E14" s="48">
        <v>3231</v>
      </c>
      <c r="F14" s="48">
        <v>1706669</v>
      </c>
      <c r="G14" s="47" t="s">
        <v>26</v>
      </c>
      <c r="H14" s="49">
        <v>43882</v>
      </c>
      <c r="I14" s="70">
        <f t="shared" si="0"/>
        <v>3.5712476571602247E-3</v>
      </c>
      <c r="J14" s="70">
        <f t="shared" si="1"/>
        <v>0.91459399219897675</v>
      </c>
      <c r="K14" s="70">
        <f t="shared" si="2"/>
        <v>2.3133952746548978E-2</v>
      </c>
      <c r="L14" t="str" cm="1">
        <f t="array" ref="L14">_xlfn.IFS(I14&gt;5%,"HIGH RISK",I14&lt;2%,"LOW RISK",OR(I14&gt;2%,I14&lt;5%),"MODERATE RISK")</f>
        <v>LOW RISK</v>
      </c>
      <c r="M14" t="str" cm="1">
        <f t="array" ref="M14">_xlfn.IFS(I14&gt;5%,"HIGH RISK",AND(I14&gt;=2%,I14&lt;=5%),"MODERATE RISK",I14&lt;2%,"LOW RISK")</f>
        <v>LOW RISK</v>
      </c>
      <c r="N14" cm="1">
        <f t="array" ref="N14">_xlfn.IFS(M14="LOW RISK",1,M14="MODERATE RISK",2,M14="HIGH RISK",3)</f>
        <v>1</v>
      </c>
    </row>
    <row r="15" spans="1:17" x14ac:dyDescent="0.3">
      <c r="A15" s="50" t="s">
        <v>66</v>
      </c>
      <c r="B15" s="51">
        <v>226225</v>
      </c>
      <c r="C15" s="51">
        <v>2965</v>
      </c>
      <c r="D15" s="51">
        <v>125683</v>
      </c>
      <c r="E15" s="51">
        <v>97577</v>
      </c>
      <c r="F15" s="51">
        <v>164851401</v>
      </c>
      <c r="G15" s="50" t="s">
        <v>26</v>
      </c>
      <c r="H15" s="52">
        <v>43898</v>
      </c>
      <c r="I15" s="70">
        <f t="shared" si="0"/>
        <v>1.3106420598961211E-2</v>
      </c>
      <c r="J15" s="70">
        <f t="shared" si="1"/>
        <v>0.55556636092385903</v>
      </c>
      <c r="K15" s="70">
        <f t="shared" si="2"/>
        <v>1.3722964962851604E-3</v>
      </c>
      <c r="L15" t="str" cm="1">
        <f t="array" ref="L15">_xlfn.IFS(I15&gt;5%,"HIGH RISK",I15&lt;2%,"LOW RISK",OR(I15&gt;2%,I15&lt;5%),"MODERATE RISK")</f>
        <v>LOW RISK</v>
      </c>
      <c r="M15" t="str" cm="1">
        <f t="array" ref="M15">_xlfn.IFS(I15&gt;5%,"HIGH RISK",AND(I15&gt;=2%,I15&lt;=5%),"MODERATE RISK",I15&lt;2%,"LOW RISK")</f>
        <v>LOW RISK</v>
      </c>
      <c r="N15" cm="1">
        <f t="array" ref="N15">_xlfn.IFS(M15="LOW RISK",1,M15="MODERATE RISK",2,M15="HIGH RISK",3)</f>
        <v>1</v>
      </c>
    </row>
    <row r="16" spans="1:17" x14ac:dyDescent="0.3">
      <c r="A16" s="47" t="s">
        <v>67</v>
      </c>
      <c r="B16" s="48">
        <v>110</v>
      </c>
      <c r="C16" s="48">
        <v>7</v>
      </c>
      <c r="D16" s="48">
        <v>94</v>
      </c>
      <c r="E16" s="48">
        <v>9</v>
      </c>
      <c r="F16" s="48">
        <v>287411</v>
      </c>
      <c r="G16" s="47" t="s">
        <v>29</v>
      </c>
      <c r="H16" s="49">
        <v>43907</v>
      </c>
      <c r="I16" s="70">
        <f t="shared" si="0"/>
        <v>6.363636363636363E-2</v>
      </c>
      <c r="J16" s="70">
        <f t="shared" si="1"/>
        <v>0.8545454545454545</v>
      </c>
      <c r="K16" s="70">
        <f t="shared" si="2"/>
        <v>3.8272717467320317E-4</v>
      </c>
      <c r="L16" t="str" cm="1">
        <f t="array" ref="L16">_xlfn.IFS(I16&gt;5%,"HIGH RISK",I16&lt;2%,"LOW RISK",OR(I16&gt;2%,I16&lt;5%),"MODERATE RISK")</f>
        <v>HIGH RISK</v>
      </c>
      <c r="M16" t="str" cm="1">
        <f t="array" ref="M16">_xlfn.IFS(I16&gt;5%,"HIGH RISK",AND(I16&gt;=2%,I16&lt;=5%),"MODERATE RISK",I16&lt;2%,"LOW RISK")</f>
        <v>HIGH RISK</v>
      </c>
      <c r="N16" cm="1">
        <f t="array" ref="N16">_xlfn.IFS(M16="LOW RISK",1,M16="MODERATE RISK",2,M16="HIGH RISK",3)</f>
        <v>3</v>
      </c>
    </row>
    <row r="17" spans="1:14" x14ac:dyDescent="0.3">
      <c r="A17" s="50" t="s">
        <v>68</v>
      </c>
      <c r="B17" s="51">
        <v>67251</v>
      </c>
      <c r="C17" s="51">
        <v>538</v>
      </c>
      <c r="D17" s="51">
        <v>60492</v>
      </c>
      <c r="E17" s="51">
        <v>6221</v>
      </c>
      <c r="F17" s="51">
        <v>9449001</v>
      </c>
      <c r="G17" s="50" t="s">
        <v>28</v>
      </c>
      <c r="H17" s="52">
        <v>43889</v>
      </c>
      <c r="I17" s="70">
        <f t="shared" si="0"/>
        <v>7.9998810426610764E-3</v>
      </c>
      <c r="J17" s="70">
        <f t="shared" si="1"/>
        <v>0.89949591827630815</v>
      </c>
      <c r="K17" s="70">
        <f t="shared" si="2"/>
        <v>7.1172603326002401E-3</v>
      </c>
      <c r="L17" t="str" cm="1">
        <f t="array" ref="L17">_xlfn.IFS(I17&gt;5%,"HIGH RISK",I17&lt;2%,"LOW RISK",OR(I17&gt;2%,I17&lt;5%),"MODERATE RISK")</f>
        <v>LOW RISK</v>
      </c>
      <c r="M17" t="str" cm="1">
        <f t="array" ref="M17">_xlfn.IFS(I17&gt;5%,"HIGH RISK",AND(I17&gt;=2%,I17&lt;=5%),"MODERATE RISK",I17&lt;2%,"LOW RISK")</f>
        <v>LOW RISK</v>
      </c>
      <c r="N17" cm="1">
        <f t="array" ref="N17">_xlfn.IFS(M17="LOW RISK",1,M17="MODERATE RISK",2,M17="HIGH RISK",3)</f>
        <v>1</v>
      </c>
    </row>
    <row r="18" spans="1:14" x14ac:dyDescent="0.3">
      <c r="A18" s="47" t="s">
        <v>69</v>
      </c>
      <c r="B18" s="48">
        <v>66428</v>
      </c>
      <c r="C18" s="48">
        <v>9822</v>
      </c>
      <c r="D18" s="48">
        <v>17452</v>
      </c>
      <c r="E18" s="48">
        <v>39154</v>
      </c>
      <c r="F18" s="48">
        <v>11594739</v>
      </c>
      <c r="G18" s="47" t="s">
        <v>28</v>
      </c>
      <c r="H18" s="49">
        <v>43865</v>
      </c>
      <c r="I18" s="70">
        <f t="shared" si="0"/>
        <v>0.14785933642439936</v>
      </c>
      <c r="J18" s="70">
        <f t="shared" si="1"/>
        <v>0.26272053953152286</v>
      </c>
      <c r="K18" s="70">
        <f t="shared" si="2"/>
        <v>5.7291500912612179E-3</v>
      </c>
      <c r="L18" t="str" cm="1">
        <f t="array" ref="L18">_xlfn.IFS(I18&gt;5%,"HIGH RISK",I18&lt;2%,"LOW RISK",OR(I18&gt;2%,I18&lt;5%),"MODERATE RISK")</f>
        <v>HIGH RISK</v>
      </c>
      <c r="M18" t="str" cm="1">
        <f t="array" ref="M18">_xlfn.IFS(I18&gt;5%,"HIGH RISK",AND(I18&gt;=2%,I18&lt;=5%),"MODERATE RISK",I18&lt;2%,"LOW RISK")</f>
        <v>HIGH RISK</v>
      </c>
      <c r="N18" cm="1">
        <f t="array" ref="N18">_xlfn.IFS(M18="LOW RISK",1,M18="MODERATE RISK",2,M18="HIGH RISK",3)</f>
        <v>3</v>
      </c>
    </row>
    <row r="19" spans="1:14" x14ac:dyDescent="0.3">
      <c r="A19" s="50" t="s">
        <v>70</v>
      </c>
      <c r="B19" s="51">
        <v>48</v>
      </c>
      <c r="C19" s="51">
        <v>2</v>
      </c>
      <c r="D19" s="51">
        <v>26</v>
      </c>
      <c r="E19" s="51">
        <v>20</v>
      </c>
      <c r="F19" s="51">
        <v>398312</v>
      </c>
      <c r="G19" s="50" t="s">
        <v>29</v>
      </c>
      <c r="H19" s="52">
        <v>43913</v>
      </c>
      <c r="I19" s="70">
        <f t="shared" si="0"/>
        <v>4.1666666666666664E-2</v>
      </c>
      <c r="J19" s="70">
        <f t="shared" si="1"/>
        <v>0.54166666666666663</v>
      </c>
      <c r="K19" s="70">
        <f t="shared" si="2"/>
        <v>1.2050854606439174E-4</v>
      </c>
      <c r="L19" t="str" cm="1">
        <f t="array" ref="L19">_xlfn.IFS(I19&gt;5%,"HIGH RISK",I19&lt;2%,"LOW RISK",OR(I19&gt;2%,I19&lt;5%),"MODERATE RISK")</f>
        <v>MODERATE RISK</v>
      </c>
      <c r="M19" t="str" cm="1">
        <f t="array" ref="M19">_xlfn.IFS(I19&gt;5%,"HIGH RISK",AND(I19&gt;=2%,I19&lt;=5%),"MODERATE RISK",I19&lt;2%,"LOW RISK")</f>
        <v>MODERATE RISK</v>
      </c>
      <c r="N19" cm="1">
        <f t="array" ref="N19">_xlfn.IFS(M19="LOW RISK",1,M19="MODERATE RISK",2,M19="HIGH RISK",3)</f>
        <v>2</v>
      </c>
    </row>
    <row r="20" spans="1:14" x14ac:dyDescent="0.3">
      <c r="A20" s="47" t="s">
        <v>71</v>
      </c>
      <c r="B20" s="48">
        <v>1770</v>
      </c>
      <c r="C20" s="48">
        <v>35</v>
      </c>
      <c r="D20" s="48">
        <v>1036</v>
      </c>
      <c r="E20" s="48">
        <v>699</v>
      </c>
      <c r="F20" s="48">
        <v>12151976</v>
      </c>
      <c r="G20" s="47" t="s">
        <v>25</v>
      </c>
      <c r="H20" s="49">
        <v>43906</v>
      </c>
      <c r="I20" s="70">
        <f t="shared" si="0"/>
        <v>1.977401129943503E-2</v>
      </c>
      <c r="J20" s="70">
        <f t="shared" si="1"/>
        <v>0.58531073446327686</v>
      </c>
      <c r="K20" s="70">
        <f t="shared" si="2"/>
        <v>1.4565532387489903E-4</v>
      </c>
      <c r="L20" t="str" cm="1">
        <f t="array" ref="L20">_xlfn.IFS(I20&gt;5%,"HIGH RISK",I20&lt;2%,"LOW RISK",OR(I20&gt;2%,I20&lt;5%),"MODERATE RISK")</f>
        <v>LOW RISK</v>
      </c>
      <c r="M20" t="str" cm="1">
        <f t="array" ref="M20">_xlfn.IFS(I20&gt;5%,"HIGH RISK",AND(I20&gt;=2%,I20&lt;=5%),"MODERATE RISK",I20&lt;2%,"LOW RISK")</f>
        <v>LOW RISK</v>
      </c>
      <c r="N20" cm="1">
        <f t="array" ref="N20">_xlfn.IFS(M20="LOW RISK",1,M20="MODERATE RISK",2,M20="HIGH RISK",3)</f>
        <v>1</v>
      </c>
    </row>
    <row r="21" spans="1:14" x14ac:dyDescent="0.3">
      <c r="A21" s="50" t="s">
        <v>72</v>
      </c>
      <c r="B21" s="51">
        <v>99</v>
      </c>
      <c r="C21" s="51">
        <v>0</v>
      </c>
      <c r="D21" s="51">
        <v>86</v>
      </c>
      <c r="E21" s="51">
        <v>13</v>
      </c>
      <c r="F21" s="51">
        <v>772443</v>
      </c>
      <c r="G21" s="50" t="s">
        <v>26</v>
      </c>
      <c r="H21" s="52">
        <v>43896</v>
      </c>
      <c r="I21" s="70">
        <f t="shared" si="0"/>
        <v>0</v>
      </c>
      <c r="J21" s="70">
        <f t="shared" si="1"/>
        <v>0.86868686868686873</v>
      </c>
      <c r="K21" s="70">
        <f t="shared" si="2"/>
        <v>1.2816479662577045E-4</v>
      </c>
      <c r="L21" t="str" cm="1">
        <f t="array" ref="L21">_xlfn.IFS(I21&gt;5%,"HIGH RISK",I21&lt;2%,"LOW RISK",OR(I21&gt;2%,I21&lt;5%),"MODERATE RISK")</f>
        <v>LOW RISK</v>
      </c>
      <c r="M21" t="str" cm="1">
        <f t="array" ref="M21">_xlfn.IFS(I21&gt;5%,"HIGH RISK",AND(I21&gt;=2%,I21&lt;=5%),"MODERATE RISK",I21&lt;2%,"LOW RISK")</f>
        <v>LOW RISK</v>
      </c>
      <c r="N21" cm="1">
        <f t="array" ref="N21">_xlfn.IFS(M21="LOW RISK",1,M21="MODERATE RISK",2,M21="HIGH RISK",3)</f>
        <v>1</v>
      </c>
    </row>
    <row r="22" spans="1:14" x14ac:dyDescent="0.3">
      <c r="A22" s="47" t="s">
        <v>73</v>
      </c>
      <c r="B22" s="48">
        <v>71181</v>
      </c>
      <c r="C22" s="48">
        <v>2647</v>
      </c>
      <c r="D22" s="48">
        <v>21478</v>
      </c>
      <c r="E22" s="48">
        <v>47056</v>
      </c>
      <c r="F22" s="48">
        <v>11688459</v>
      </c>
      <c r="G22" s="47" t="s">
        <v>30</v>
      </c>
      <c r="H22" s="49">
        <v>43900</v>
      </c>
      <c r="I22" s="70">
        <f t="shared" si="0"/>
        <v>3.7186889759907839E-2</v>
      </c>
      <c r="J22" s="70">
        <f t="shared" si="1"/>
        <v>0.30173782329554233</v>
      </c>
      <c r="K22" s="70">
        <f t="shared" si="2"/>
        <v>6.0898532475495704E-3</v>
      </c>
      <c r="L22" t="str" cm="1">
        <f t="array" ref="L22">_xlfn.IFS(I22&gt;5%,"HIGH RISK",I22&lt;2%,"LOW RISK",OR(I22&gt;2%,I22&lt;5%),"MODERATE RISK")</f>
        <v>MODERATE RISK</v>
      </c>
      <c r="M22" t="str" cm="1">
        <f t="array" ref="M22">_xlfn.IFS(I22&gt;5%,"HIGH RISK",AND(I22&gt;=2%,I22&lt;=5%),"MODERATE RISK",I22&lt;2%,"LOW RISK")</f>
        <v>MODERATE RISK</v>
      </c>
      <c r="N22" cm="1">
        <f t="array" ref="N22">_xlfn.IFS(M22="LOW RISK",1,M22="MODERATE RISK",2,M22="HIGH RISK",3)</f>
        <v>2</v>
      </c>
    </row>
    <row r="23" spans="1:14" x14ac:dyDescent="0.3">
      <c r="A23" s="50" t="s">
        <v>74</v>
      </c>
      <c r="B23" s="51">
        <v>10498</v>
      </c>
      <c r="C23" s="51">
        <v>294</v>
      </c>
      <c r="D23" s="51">
        <v>4930</v>
      </c>
      <c r="E23" s="51">
        <v>5274</v>
      </c>
      <c r="F23" s="51">
        <v>3278650</v>
      </c>
      <c r="G23" s="50" t="s">
        <v>28</v>
      </c>
      <c r="H23" s="52">
        <v>43895</v>
      </c>
      <c r="I23" s="70">
        <f t="shared" si="0"/>
        <v>2.8005334349399887E-2</v>
      </c>
      <c r="J23" s="70">
        <f t="shared" si="1"/>
        <v>0.46961325966850831</v>
      </c>
      <c r="K23" s="70">
        <f t="shared" si="2"/>
        <v>3.2019276226495663E-3</v>
      </c>
      <c r="L23" t="str" cm="1">
        <f t="array" ref="L23">_xlfn.IFS(I23&gt;5%,"HIGH RISK",I23&lt;2%,"LOW RISK",OR(I23&gt;2%,I23&lt;5%),"MODERATE RISK")</f>
        <v>MODERATE RISK</v>
      </c>
      <c r="M23" t="str" cm="1">
        <f t="array" ref="M23">_xlfn.IFS(I23&gt;5%,"HIGH RISK",AND(I23&gt;=2%,I23&lt;=5%),"MODERATE RISK",I23&lt;2%,"LOW RISK")</f>
        <v>MODERATE RISK</v>
      </c>
      <c r="N23" cm="1">
        <f t="array" ref="N23">_xlfn.IFS(M23="LOW RISK",1,M23="MODERATE RISK",2,M23="HIGH RISK",3)</f>
        <v>2</v>
      </c>
    </row>
    <row r="24" spans="1:14" x14ac:dyDescent="0.3">
      <c r="A24" s="47" t="s">
        <v>75</v>
      </c>
      <c r="B24" s="48">
        <v>739</v>
      </c>
      <c r="C24" s="48">
        <v>2</v>
      </c>
      <c r="D24" s="48">
        <v>63</v>
      </c>
      <c r="E24" s="48">
        <v>674</v>
      </c>
      <c r="F24" s="48">
        <v>2356075</v>
      </c>
      <c r="G24" s="47" t="s">
        <v>25</v>
      </c>
      <c r="H24" s="49">
        <v>43920</v>
      </c>
      <c r="I24" s="70">
        <f t="shared" si="0"/>
        <v>2.7063599458728013E-3</v>
      </c>
      <c r="J24" s="70">
        <f t="shared" si="1"/>
        <v>8.5250338294993233E-2</v>
      </c>
      <c r="K24" s="70">
        <f t="shared" si="2"/>
        <v>3.1365724775314879E-4</v>
      </c>
      <c r="L24" t="str" cm="1">
        <f t="array" ref="L24">_xlfn.IFS(I24&gt;5%,"HIGH RISK",I24&lt;2%,"LOW RISK",OR(I24&gt;2%,I24&lt;5%),"MODERATE RISK")</f>
        <v>LOW RISK</v>
      </c>
      <c r="M24" t="str" cm="1">
        <f t="array" ref="M24">_xlfn.IFS(I24&gt;5%,"HIGH RISK",AND(I24&gt;=2%,I24&lt;=5%),"MODERATE RISK",I24&lt;2%,"LOW RISK")</f>
        <v>LOW RISK</v>
      </c>
      <c r="N24" cm="1">
        <f t="array" ref="N24">_xlfn.IFS(M24="LOW RISK",1,M24="MODERATE RISK",2,M24="HIGH RISK",3)</f>
        <v>1</v>
      </c>
    </row>
    <row r="25" spans="1:14" x14ac:dyDescent="0.3">
      <c r="A25" s="50" t="s">
        <v>3</v>
      </c>
      <c r="B25" s="51">
        <v>2442375</v>
      </c>
      <c r="C25" s="51">
        <v>87618</v>
      </c>
      <c r="D25" s="51">
        <v>1846641</v>
      </c>
      <c r="E25" s="51">
        <v>508116</v>
      </c>
      <c r="F25" s="51">
        <v>212710692</v>
      </c>
      <c r="G25" s="50" t="s">
        <v>30</v>
      </c>
      <c r="H25" s="52">
        <v>43887</v>
      </c>
      <c r="I25" s="70">
        <f t="shared" si="0"/>
        <v>3.5874097957930291E-2</v>
      </c>
      <c r="J25" s="70">
        <f t="shared" si="1"/>
        <v>0.75608413941348074</v>
      </c>
      <c r="K25" s="70">
        <f t="shared" si="2"/>
        <v>1.1482144959596107E-2</v>
      </c>
      <c r="L25" t="str" cm="1">
        <f t="array" ref="L25">_xlfn.IFS(I25&gt;5%,"HIGH RISK",I25&lt;2%,"LOW RISK",OR(I25&gt;2%,I25&lt;5%),"MODERATE RISK")</f>
        <v>MODERATE RISK</v>
      </c>
      <c r="M25" t="str" cm="1">
        <f t="array" ref="M25">_xlfn.IFS(I25&gt;5%,"HIGH RISK",AND(I25&gt;=2%,I25&lt;=5%),"MODERATE RISK",I25&lt;2%,"LOW RISK")</f>
        <v>MODERATE RISK</v>
      </c>
      <c r="N25" cm="1">
        <f t="array" ref="N25">_xlfn.IFS(M25="LOW RISK",1,M25="MODERATE RISK",2,M25="HIGH RISK",3)</f>
        <v>2</v>
      </c>
    </row>
    <row r="26" spans="1:14" x14ac:dyDescent="0.3">
      <c r="A26" s="47" t="s">
        <v>76</v>
      </c>
      <c r="B26" s="48">
        <v>141</v>
      </c>
      <c r="C26" s="48">
        <v>3</v>
      </c>
      <c r="D26" s="48">
        <v>138</v>
      </c>
      <c r="E26" s="48">
        <v>0</v>
      </c>
      <c r="F26" s="48">
        <v>437893</v>
      </c>
      <c r="G26" s="47" t="s">
        <v>26</v>
      </c>
      <c r="H26" s="49">
        <v>43899</v>
      </c>
      <c r="I26" s="70">
        <f t="shared" si="0"/>
        <v>2.1276595744680851E-2</v>
      </c>
      <c r="J26" s="70">
        <f t="shared" si="1"/>
        <v>0.97872340425531912</v>
      </c>
      <c r="K26" s="70">
        <f t="shared" si="2"/>
        <v>3.2199646945715047E-4</v>
      </c>
      <c r="L26" t="str" cm="1">
        <f t="array" ref="L26">_xlfn.IFS(I26&gt;5%,"HIGH RISK",I26&lt;2%,"LOW RISK",OR(I26&gt;2%,I26&lt;5%),"MODERATE RISK")</f>
        <v>MODERATE RISK</v>
      </c>
      <c r="M26" t="str" cm="1">
        <f t="array" ref="M26">_xlfn.IFS(I26&gt;5%,"HIGH RISK",AND(I26&gt;=2%,I26&lt;=5%),"MODERATE RISK",I26&lt;2%,"LOW RISK")</f>
        <v>MODERATE RISK</v>
      </c>
      <c r="N26" cm="1">
        <f t="array" ref="N26">_xlfn.IFS(M26="LOW RISK",1,M26="MODERATE RISK",2,M26="HIGH RISK",3)</f>
        <v>2</v>
      </c>
    </row>
    <row r="27" spans="1:14" x14ac:dyDescent="0.3">
      <c r="A27" s="50" t="s">
        <v>77</v>
      </c>
      <c r="B27" s="51">
        <v>10621</v>
      </c>
      <c r="C27" s="51">
        <v>347</v>
      </c>
      <c r="D27" s="51">
        <v>5585</v>
      </c>
      <c r="E27" s="51">
        <v>4689</v>
      </c>
      <c r="F27" s="51">
        <v>6942854</v>
      </c>
      <c r="G27" s="50" t="s">
        <v>28</v>
      </c>
      <c r="H27" s="52">
        <v>43898</v>
      </c>
      <c r="I27" s="70">
        <f t="shared" si="0"/>
        <v>3.2671123246398641E-2</v>
      </c>
      <c r="J27" s="70">
        <f t="shared" si="1"/>
        <v>0.52584502400903865</v>
      </c>
      <c r="K27" s="70">
        <f t="shared" si="2"/>
        <v>1.5297743550418891E-3</v>
      </c>
      <c r="L27" t="str" cm="1">
        <f t="array" ref="L27">_xlfn.IFS(I27&gt;5%,"HIGH RISK",I27&lt;2%,"LOW RISK",OR(I27&gt;2%,I27&lt;5%),"MODERATE RISK")</f>
        <v>MODERATE RISK</v>
      </c>
      <c r="M27" t="str" cm="1">
        <f t="array" ref="M27">_xlfn.IFS(I27&gt;5%,"HIGH RISK",AND(I27&gt;=2%,I27&lt;=5%),"MODERATE RISK",I27&lt;2%,"LOW RISK")</f>
        <v>MODERATE RISK</v>
      </c>
      <c r="N27" cm="1">
        <f t="array" ref="N27">_xlfn.IFS(M27="LOW RISK",1,M27="MODERATE RISK",2,M27="HIGH RISK",3)</f>
        <v>2</v>
      </c>
    </row>
    <row r="28" spans="1:14" x14ac:dyDescent="0.3">
      <c r="A28" s="47" t="s">
        <v>78</v>
      </c>
      <c r="B28" s="48">
        <v>1100</v>
      </c>
      <c r="C28" s="48">
        <v>53</v>
      </c>
      <c r="D28" s="48">
        <v>926</v>
      </c>
      <c r="E28" s="48">
        <v>121</v>
      </c>
      <c r="F28" s="48">
        <v>20954852</v>
      </c>
      <c r="G28" s="47" t="s">
        <v>25</v>
      </c>
      <c r="H28" s="49">
        <v>43899</v>
      </c>
      <c r="I28" s="70">
        <f t="shared" si="0"/>
        <v>4.818181818181818E-2</v>
      </c>
      <c r="J28" s="70">
        <f t="shared" si="1"/>
        <v>0.8418181818181818</v>
      </c>
      <c r="K28" s="70">
        <f t="shared" si="2"/>
        <v>5.2493809071044739E-5</v>
      </c>
      <c r="L28" t="str" cm="1">
        <f t="array" ref="L28">_xlfn.IFS(I28&gt;5%,"HIGH RISK",I28&lt;2%,"LOW RISK",OR(I28&gt;2%,I28&lt;5%),"MODERATE RISK")</f>
        <v>MODERATE RISK</v>
      </c>
      <c r="M28" t="str" cm="1">
        <f t="array" ref="M28">_xlfn.IFS(I28&gt;5%,"HIGH RISK",AND(I28&gt;=2%,I28&lt;=5%),"MODERATE RISK",I28&lt;2%,"LOW RISK")</f>
        <v>MODERATE RISK</v>
      </c>
      <c r="N28" cm="1">
        <f t="array" ref="N28">_xlfn.IFS(M28="LOW RISK",1,M28="MODERATE RISK",2,M28="HIGH RISK",3)</f>
        <v>2</v>
      </c>
    </row>
    <row r="29" spans="1:14" x14ac:dyDescent="0.3">
      <c r="A29" s="50" t="s">
        <v>79</v>
      </c>
      <c r="B29" s="51">
        <v>350</v>
      </c>
      <c r="C29" s="51">
        <v>6</v>
      </c>
      <c r="D29" s="51">
        <v>292</v>
      </c>
      <c r="E29" s="51">
        <v>52</v>
      </c>
      <c r="F29" s="51">
        <v>54446389</v>
      </c>
      <c r="G29" s="50" t="s">
        <v>26</v>
      </c>
      <c r="H29" s="52">
        <v>43913</v>
      </c>
      <c r="I29" s="70">
        <f t="shared" si="0"/>
        <v>1.7142857142857144E-2</v>
      </c>
      <c r="J29" s="70">
        <f t="shared" si="1"/>
        <v>0.8342857142857143</v>
      </c>
      <c r="K29" s="70">
        <f t="shared" si="2"/>
        <v>6.4283418318155129E-6</v>
      </c>
      <c r="L29" t="str" cm="1">
        <f t="array" ref="L29">_xlfn.IFS(I29&gt;5%,"HIGH RISK",I29&lt;2%,"LOW RISK",OR(I29&gt;2%,I29&lt;5%),"MODERATE RISK")</f>
        <v>LOW RISK</v>
      </c>
      <c r="M29" t="str" cm="1">
        <f t="array" ref="M29">_xlfn.IFS(I29&gt;5%,"HIGH RISK",AND(I29&gt;=2%,I29&lt;=5%),"MODERATE RISK",I29&lt;2%,"LOW RISK")</f>
        <v>LOW RISK</v>
      </c>
      <c r="N29" cm="1">
        <f t="array" ref="N29">_xlfn.IFS(M29="LOW RISK",1,M29="MODERATE RISK",2,M29="HIGH RISK",3)</f>
        <v>1</v>
      </c>
    </row>
    <row r="30" spans="1:14" x14ac:dyDescent="0.3">
      <c r="A30" s="47" t="s">
        <v>80</v>
      </c>
      <c r="B30" s="48">
        <v>378</v>
      </c>
      <c r="C30" s="48">
        <v>1</v>
      </c>
      <c r="D30" s="48">
        <v>301</v>
      </c>
      <c r="E30" s="48">
        <v>76</v>
      </c>
      <c r="F30" s="48">
        <v>11922216</v>
      </c>
      <c r="G30" s="47" t="s">
        <v>25</v>
      </c>
      <c r="H30" s="49">
        <v>43921</v>
      </c>
      <c r="I30" s="70">
        <f t="shared" si="0"/>
        <v>2.6455026455026454E-3</v>
      </c>
      <c r="J30" s="70">
        <f t="shared" si="1"/>
        <v>0.79629629629629628</v>
      </c>
      <c r="K30" s="70">
        <f t="shared" si="2"/>
        <v>3.1705515149197092E-5</v>
      </c>
      <c r="L30" t="str" cm="1">
        <f t="array" ref="L30">_xlfn.IFS(I30&gt;5%,"HIGH RISK",I30&lt;2%,"LOW RISK",OR(I30&gt;2%,I30&lt;5%),"MODERATE RISK")</f>
        <v>LOW RISK</v>
      </c>
      <c r="M30" t="str" cm="1">
        <f t="array" ref="M30">_xlfn.IFS(I30&gt;5%,"HIGH RISK",AND(I30&gt;=2%,I30&lt;=5%),"MODERATE RISK",I30&lt;2%,"LOW RISK")</f>
        <v>LOW RISK</v>
      </c>
      <c r="N30" cm="1">
        <f t="array" ref="N30">_xlfn.IFS(M30="LOW RISK",1,M30="MODERATE RISK",2,M30="HIGH RISK",3)</f>
        <v>1</v>
      </c>
    </row>
    <row r="31" spans="1:14" x14ac:dyDescent="0.3">
      <c r="A31" s="50" t="s">
        <v>81</v>
      </c>
      <c r="B31" s="51">
        <v>2328</v>
      </c>
      <c r="C31" s="51">
        <v>22</v>
      </c>
      <c r="D31" s="51">
        <v>1550</v>
      </c>
      <c r="E31" s="51">
        <v>756</v>
      </c>
      <c r="F31" s="51">
        <v>556581</v>
      </c>
      <c r="G31" s="50" t="s">
        <v>25</v>
      </c>
      <c r="H31" s="52">
        <v>43910</v>
      </c>
      <c r="I31" s="70">
        <f t="shared" si="0"/>
        <v>9.4501718213058413E-3</v>
      </c>
      <c r="J31" s="70">
        <f t="shared" si="1"/>
        <v>0.66580756013745701</v>
      </c>
      <c r="K31" s="70">
        <f t="shared" si="2"/>
        <v>4.1826796099759065E-3</v>
      </c>
      <c r="L31" t="str" cm="1">
        <f t="array" ref="L31">_xlfn.IFS(I31&gt;5%,"HIGH RISK",I31&lt;2%,"LOW RISK",OR(I31&gt;2%,I31&lt;5%),"MODERATE RISK")</f>
        <v>LOW RISK</v>
      </c>
      <c r="M31" t="str" cm="1">
        <f t="array" ref="M31">_xlfn.IFS(I31&gt;5%,"HIGH RISK",AND(I31&gt;=2%,I31&lt;=5%),"MODERATE RISK",I31&lt;2%,"LOW RISK")</f>
        <v>LOW RISK</v>
      </c>
      <c r="N31" cm="1">
        <f t="array" ref="N31">_xlfn.IFS(M31="LOW RISK",1,M31="MODERATE RISK",2,M31="HIGH RISK",3)</f>
        <v>1</v>
      </c>
    </row>
    <row r="32" spans="1:14" x14ac:dyDescent="0.3">
      <c r="A32" s="47" t="s">
        <v>82</v>
      </c>
      <c r="B32" s="48">
        <v>226</v>
      </c>
      <c r="C32" s="48">
        <v>0</v>
      </c>
      <c r="D32" s="48">
        <v>147</v>
      </c>
      <c r="E32" s="48">
        <v>79</v>
      </c>
      <c r="F32" s="48">
        <v>16741375</v>
      </c>
      <c r="G32" s="47" t="s">
        <v>26</v>
      </c>
      <c r="H32" s="49">
        <v>43857</v>
      </c>
      <c r="I32" s="70">
        <f t="shared" si="0"/>
        <v>0</v>
      </c>
      <c r="J32" s="70">
        <f t="shared" si="1"/>
        <v>0.65044247787610621</v>
      </c>
      <c r="K32" s="70">
        <f t="shared" si="2"/>
        <v>1.349948854260776E-5</v>
      </c>
      <c r="L32" t="str" cm="1">
        <f t="array" ref="L32">_xlfn.IFS(I32&gt;5%,"HIGH RISK",I32&lt;2%,"LOW RISK",OR(I32&gt;2%,I32&lt;5%),"MODERATE RISK")</f>
        <v>LOW RISK</v>
      </c>
      <c r="M32" t="str" cm="1">
        <f t="array" ref="M32">_xlfn.IFS(I32&gt;5%,"HIGH RISK",AND(I32&gt;=2%,I32&lt;=5%),"MODERATE RISK",I32&lt;2%,"LOW RISK")</f>
        <v>LOW RISK</v>
      </c>
      <c r="N32" cm="1">
        <f t="array" ref="N32">_xlfn.IFS(M32="LOW RISK",1,M32="MODERATE RISK",2,M32="HIGH RISK",3)</f>
        <v>1</v>
      </c>
    </row>
    <row r="33" spans="1:14" x14ac:dyDescent="0.3">
      <c r="A33" s="50" t="s">
        <v>83</v>
      </c>
      <c r="B33" s="51">
        <v>17110</v>
      </c>
      <c r="C33" s="51">
        <v>391</v>
      </c>
      <c r="D33" s="51">
        <v>14539</v>
      </c>
      <c r="E33" s="51">
        <v>2180</v>
      </c>
      <c r="F33" s="51">
        <v>26606188</v>
      </c>
      <c r="G33" s="50" t="s">
        <v>25</v>
      </c>
      <c r="H33" s="52">
        <v>43896</v>
      </c>
      <c r="I33" s="70">
        <f t="shared" si="0"/>
        <v>2.2852133255406196E-2</v>
      </c>
      <c r="J33" s="70">
        <f t="shared" si="1"/>
        <v>0.84973699590882523</v>
      </c>
      <c r="K33" s="70">
        <f t="shared" si="2"/>
        <v>6.4308348118114476E-4</v>
      </c>
      <c r="L33" t="str" cm="1">
        <f t="array" ref="L33">_xlfn.IFS(I33&gt;5%,"HIGH RISK",I33&lt;2%,"LOW RISK",OR(I33&gt;2%,I33&lt;5%),"MODERATE RISK")</f>
        <v>MODERATE RISK</v>
      </c>
      <c r="M33" t="str" cm="1">
        <f t="array" ref="M33">_xlfn.IFS(I33&gt;5%,"HIGH RISK",AND(I33&gt;=2%,I33&lt;=5%),"MODERATE RISK",I33&lt;2%,"LOW RISK")</f>
        <v>MODERATE RISK</v>
      </c>
      <c r="N33" cm="1">
        <f t="array" ref="N33">_xlfn.IFS(M33="LOW RISK",1,M33="MODERATE RISK",2,M33="HIGH RISK",3)</f>
        <v>2</v>
      </c>
    </row>
    <row r="34" spans="1:14" x14ac:dyDescent="0.3">
      <c r="A34" s="47" t="s">
        <v>84</v>
      </c>
      <c r="B34" s="48">
        <v>116458</v>
      </c>
      <c r="C34" s="48">
        <v>8944</v>
      </c>
      <c r="D34" s="48">
        <v>0</v>
      </c>
      <c r="E34" s="48">
        <v>107514</v>
      </c>
      <c r="F34" s="48">
        <v>37775022</v>
      </c>
      <c r="G34" s="47" t="s">
        <v>29</v>
      </c>
      <c r="H34" s="49">
        <v>43855</v>
      </c>
      <c r="I34" s="70">
        <f t="shared" si="0"/>
        <v>7.6800219821738305E-2</v>
      </c>
      <c r="J34" s="70">
        <f t="shared" si="1"/>
        <v>0</v>
      </c>
      <c r="K34" s="70">
        <f t="shared" si="2"/>
        <v>3.0829366558674672E-3</v>
      </c>
      <c r="L34" t="str" cm="1">
        <f t="array" ref="L34">_xlfn.IFS(I34&gt;5%,"HIGH RISK",I34&lt;2%,"LOW RISK",OR(I34&gt;2%,I34&lt;5%),"MODERATE RISK")</f>
        <v>HIGH RISK</v>
      </c>
      <c r="M34" t="str" cm="1">
        <f t="array" ref="M34">_xlfn.IFS(I34&gt;5%,"HIGH RISK",AND(I34&gt;=2%,I34&lt;=5%),"MODERATE RISK",I34&lt;2%,"LOW RISK")</f>
        <v>HIGH RISK</v>
      </c>
      <c r="N34" cm="1">
        <f t="array" ref="N34">_xlfn.IFS(M34="LOW RISK",1,M34="MODERATE RISK",2,M34="HIGH RISK",3)</f>
        <v>3</v>
      </c>
    </row>
    <row r="35" spans="1:14" x14ac:dyDescent="0.3">
      <c r="A35" s="50" t="s">
        <v>85</v>
      </c>
      <c r="B35" s="51">
        <v>4599</v>
      </c>
      <c r="C35" s="51">
        <v>59</v>
      </c>
      <c r="D35" s="51">
        <v>1546</v>
      </c>
      <c r="E35" s="51">
        <v>2994</v>
      </c>
      <c r="F35" s="51">
        <v>4837752</v>
      </c>
      <c r="G35" s="50" t="s">
        <v>25</v>
      </c>
      <c r="H35" s="52">
        <v>43904</v>
      </c>
      <c r="I35" s="70">
        <f t="shared" si="0"/>
        <v>1.2828875842574472E-2</v>
      </c>
      <c r="J35" s="70">
        <f t="shared" si="1"/>
        <v>0.33616003479017176</v>
      </c>
      <c r="K35" s="70">
        <f t="shared" si="2"/>
        <v>9.5064815228229974E-4</v>
      </c>
      <c r="L35" t="str" cm="1">
        <f t="array" ref="L35">_xlfn.IFS(I35&gt;5%,"HIGH RISK",I35&lt;2%,"LOW RISK",OR(I35&gt;2%,I35&lt;5%),"MODERATE RISK")</f>
        <v>LOW RISK</v>
      </c>
      <c r="M35" t="str" cm="1">
        <f t="array" ref="M35">_xlfn.IFS(I35&gt;5%,"HIGH RISK",AND(I35&gt;=2%,I35&lt;=5%),"MODERATE RISK",I35&lt;2%,"LOW RISK")</f>
        <v>LOW RISK</v>
      </c>
      <c r="N35" cm="1">
        <f t="array" ref="N35">_xlfn.IFS(M35="LOW RISK",1,M35="MODERATE RISK",2,M35="HIGH RISK",3)</f>
        <v>1</v>
      </c>
    </row>
    <row r="36" spans="1:14" x14ac:dyDescent="0.3">
      <c r="A36" s="47" t="s">
        <v>86</v>
      </c>
      <c r="B36" s="48">
        <v>922</v>
      </c>
      <c r="C36" s="48">
        <v>75</v>
      </c>
      <c r="D36" s="48">
        <v>810</v>
      </c>
      <c r="E36" s="48">
        <v>37</v>
      </c>
      <c r="F36" s="53" t="s">
        <v>87</v>
      </c>
      <c r="G36" s="47" t="s">
        <v>25</v>
      </c>
      <c r="H36" s="49">
        <v>43909</v>
      </c>
      <c r="I36" s="70">
        <f t="shared" si="0"/>
        <v>8.1344902386117135E-2</v>
      </c>
      <c r="J36" s="70">
        <f t="shared" si="1"/>
        <v>0.87852494577006512</v>
      </c>
      <c r="K36" s="70" t="e">
        <f t="shared" si="2"/>
        <v>#VALUE!</v>
      </c>
      <c r="L36" t="str" cm="1">
        <f t="array" ref="L36">_xlfn.IFS(I36&gt;5%,"HIGH RISK",I36&lt;2%,"LOW RISK",OR(I36&gt;2%,I36&lt;5%),"MODERATE RISK")</f>
        <v>HIGH RISK</v>
      </c>
      <c r="M36" t="str" cm="1">
        <f t="array" ref="M36">_xlfn.IFS(I36&gt;5%,"HIGH RISK",AND(I36&gt;=2%,I36&lt;=5%),"MODERATE RISK",I36&lt;2%,"LOW RISK")</f>
        <v>HIGH RISK</v>
      </c>
      <c r="N36" cm="1">
        <f t="array" ref="N36">_xlfn.IFS(M36="LOW RISK",1,M36="MODERATE RISK",2,M36="HIGH RISK",3)</f>
        <v>3</v>
      </c>
    </row>
    <row r="37" spans="1:14" x14ac:dyDescent="0.3">
      <c r="A37" s="50" t="s">
        <v>4</v>
      </c>
      <c r="B37" s="51">
        <v>347923</v>
      </c>
      <c r="C37" s="51">
        <v>9187</v>
      </c>
      <c r="D37" s="51">
        <v>319954</v>
      </c>
      <c r="E37" s="51">
        <v>18782</v>
      </c>
      <c r="F37" s="51">
        <v>19132514</v>
      </c>
      <c r="G37" s="50" t="s">
        <v>30</v>
      </c>
      <c r="H37" s="52">
        <v>43893</v>
      </c>
      <c r="I37" s="70">
        <f t="shared" si="0"/>
        <v>2.6405267832250241E-2</v>
      </c>
      <c r="J37" s="70">
        <f t="shared" si="1"/>
        <v>0.91961152323933748</v>
      </c>
      <c r="K37" s="70">
        <f t="shared" si="2"/>
        <v>1.8184907639424697E-2</v>
      </c>
      <c r="L37" t="str" cm="1">
        <f t="array" ref="L37">_xlfn.IFS(I37&gt;5%,"HIGH RISK",I37&lt;2%,"LOW RISK",OR(I37&gt;2%,I37&lt;5%),"MODERATE RISK")</f>
        <v>MODERATE RISK</v>
      </c>
      <c r="M37" t="str" cm="1">
        <f t="array" ref="M37">_xlfn.IFS(I37&gt;5%,"HIGH RISK",AND(I37&gt;=2%,I37&lt;=5%),"MODERATE RISK",I37&lt;2%,"LOW RISK")</f>
        <v>MODERATE RISK</v>
      </c>
      <c r="N37" cm="1">
        <f t="array" ref="N37">_xlfn.IFS(M37="LOW RISK",1,M37="MODERATE RISK",2,M37="HIGH RISK",3)</f>
        <v>2</v>
      </c>
    </row>
    <row r="38" spans="1:14" x14ac:dyDescent="0.3">
      <c r="A38" s="47" t="s">
        <v>88</v>
      </c>
      <c r="B38" s="48">
        <v>86783</v>
      </c>
      <c r="C38" s="48">
        <v>4656</v>
      </c>
      <c r="D38" s="48">
        <v>78869</v>
      </c>
      <c r="E38" s="48">
        <v>3258</v>
      </c>
      <c r="F38" s="53">
        <v>1411778724</v>
      </c>
      <c r="G38" s="47" t="s">
        <v>25</v>
      </c>
      <c r="H38" s="49">
        <v>43786</v>
      </c>
      <c r="I38" s="70">
        <f t="shared" si="0"/>
        <v>5.365106069161011E-2</v>
      </c>
      <c r="J38" s="70">
        <f t="shared" si="1"/>
        <v>0.90880702441722461</v>
      </c>
      <c r="K38" s="70">
        <f t="shared" si="2"/>
        <v>6.1470681293536756E-5</v>
      </c>
      <c r="L38" t="str" cm="1">
        <f t="array" ref="L38">_xlfn.IFS(I38&gt;5%,"HIGH RISK",I38&lt;2%,"LOW RISK",OR(I38&gt;2%,I38&lt;5%),"MODERATE RISK")</f>
        <v>HIGH RISK</v>
      </c>
      <c r="M38" t="str" cm="1">
        <f t="array" ref="M38">_xlfn.IFS(I38&gt;5%,"HIGH RISK",AND(I38&gt;=2%,I38&lt;=5%),"MODERATE RISK",I38&lt;2%,"LOW RISK")</f>
        <v>HIGH RISK</v>
      </c>
      <c r="N38" cm="1">
        <f t="array" ref="N38">_xlfn.IFS(M38="LOW RISK",1,M38="MODERATE RISK",2,M38="HIGH RISK",3)</f>
        <v>3</v>
      </c>
    </row>
    <row r="39" spans="1:14" x14ac:dyDescent="0.3">
      <c r="A39" s="50" t="s">
        <v>89</v>
      </c>
      <c r="B39" s="51">
        <v>257101</v>
      </c>
      <c r="C39" s="51">
        <v>8777</v>
      </c>
      <c r="D39" s="51">
        <v>131161</v>
      </c>
      <c r="E39" s="51">
        <v>117163</v>
      </c>
      <c r="F39" s="51">
        <v>50936262</v>
      </c>
      <c r="G39" s="50" t="s">
        <v>30</v>
      </c>
      <c r="H39" s="52">
        <v>43896</v>
      </c>
      <c r="I39" s="70">
        <f t="shared" si="0"/>
        <v>3.4138334740043796E-2</v>
      </c>
      <c r="J39" s="70">
        <f t="shared" si="1"/>
        <v>0.51015359722443709</v>
      </c>
      <c r="K39" s="70">
        <f t="shared" si="2"/>
        <v>5.0475042711222119E-3</v>
      </c>
      <c r="L39" t="str" cm="1">
        <f t="array" ref="L39">_xlfn.IFS(I39&gt;5%,"HIGH RISK",I39&lt;2%,"LOW RISK",OR(I39&gt;2%,I39&lt;5%),"MODERATE RISK")</f>
        <v>MODERATE RISK</v>
      </c>
      <c r="M39" t="str" cm="1">
        <f t="array" ref="M39">_xlfn.IFS(I39&gt;5%,"HIGH RISK",AND(I39&gt;=2%,I39&lt;=5%),"MODERATE RISK",I39&lt;2%,"LOW RISK")</f>
        <v>MODERATE RISK</v>
      </c>
      <c r="N39" cm="1">
        <f t="array" ref="N39">_xlfn.IFS(M39="LOW RISK",1,M39="MODERATE RISK",2,M39="HIGH RISK",3)</f>
        <v>2</v>
      </c>
    </row>
    <row r="40" spans="1:14" x14ac:dyDescent="0.3">
      <c r="A40" s="47" t="s">
        <v>90</v>
      </c>
      <c r="B40" s="48">
        <v>354</v>
      </c>
      <c r="C40" s="48">
        <v>7</v>
      </c>
      <c r="D40" s="48">
        <v>328</v>
      </c>
      <c r="E40" s="48">
        <v>19</v>
      </c>
      <c r="F40" s="48">
        <v>871326</v>
      </c>
      <c r="G40" s="47" t="s">
        <v>25</v>
      </c>
      <c r="H40" s="49">
        <v>43951</v>
      </c>
      <c r="I40" s="70">
        <f t="shared" si="0"/>
        <v>1.977401129943503E-2</v>
      </c>
      <c r="J40" s="70">
        <f t="shared" si="1"/>
        <v>0.92655367231638419</v>
      </c>
      <c r="K40" s="70">
        <f t="shared" si="2"/>
        <v>4.0627732903643414E-4</v>
      </c>
      <c r="L40" t="str" cm="1">
        <f t="array" ref="L40">_xlfn.IFS(I40&gt;5%,"HIGH RISK",I40&lt;2%,"LOW RISK",OR(I40&gt;2%,I40&lt;5%),"MODERATE RISK")</f>
        <v>LOW RISK</v>
      </c>
      <c r="M40" t="str" cm="1">
        <f t="array" ref="M40">_xlfn.IFS(I40&gt;5%,"HIGH RISK",AND(I40&gt;=2%,I40&lt;=5%),"MODERATE RISK",I40&lt;2%,"LOW RISK")</f>
        <v>LOW RISK</v>
      </c>
      <c r="N40" cm="1">
        <f t="array" ref="N40">_xlfn.IFS(M40="LOW RISK",1,M40="MODERATE RISK",2,M40="HIGH RISK",3)</f>
        <v>1</v>
      </c>
    </row>
    <row r="41" spans="1:14" x14ac:dyDescent="0.3">
      <c r="A41" s="50" t="s">
        <v>91</v>
      </c>
      <c r="B41" s="51">
        <v>3200</v>
      </c>
      <c r="C41" s="51">
        <v>54</v>
      </c>
      <c r="D41" s="51">
        <v>829</v>
      </c>
      <c r="E41" s="51">
        <v>2317</v>
      </c>
      <c r="F41" s="51">
        <v>5530506</v>
      </c>
      <c r="G41" s="50" t="s">
        <v>25</v>
      </c>
      <c r="H41" s="52">
        <v>43904</v>
      </c>
      <c r="I41" s="70">
        <f t="shared" si="0"/>
        <v>1.6875000000000001E-2</v>
      </c>
      <c r="J41" s="70">
        <f t="shared" si="1"/>
        <v>0.25906249999999997</v>
      </c>
      <c r="K41" s="70">
        <f t="shared" si="2"/>
        <v>5.7860890124701071E-4</v>
      </c>
      <c r="L41" t="str" cm="1">
        <f t="array" ref="L41">_xlfn.IFS(I41&gt;5%,"HIGH RISK",I41&lt;2%,"LOW RISK",OR(I41&gt;2%,I41&lt;5%),"MODERATE RISK")</f>
        <v>LOW RISK</v>
      </c>
      <c r="M41" t="str" cm="1">
        <f t="array" ref="M41">_xlfn.IFS(I41&gt;5%,"HIGH RISK",AND(I41&gt;=2%,I41&lt;=5%),"MODERATE RISK",I41&lt;2%,"LOW RISK")</f>
        <v>LOW RISK</v>
      </c>
      <c r="N41" cm="1">
        <f t="array" ref="N41">_xlfn.IFS(M41="LOW RISK",1,M41="MODERATE RISK",2,M41="HIGH RISK",3)</f>
        <v>1</v>
      </c>
    </row>
    <row r="42" spans="1:14" x14ac:dyDescent="0.3">
      <c r="A42" s="47" t="s">
        <v>92</v>
      </c>
      <c r="B42" s="48">
        <v>8844</v>
      </c>
      <c r="C42" s="48">
        <v>208</v>
      </c>
      <c r="D42" s="48">
        <v>5700</v>
      </c>
      <c r="E42" s="48">
        <v>2936</v>
      </c>
      <c r="F42" s="53">
        <v>96076573</v>
      </c>
      <c r="G42" s="47" t="s">
        <v>25</v>
      </c>
      <c r="H42" s="49">
        <v>43900</v>
      </c>
      <c r="I42" s="70">
        <f t="shared" si="0"/>
        <v>2.3518769787426504E-2</v>
      </c>
      <c r="J42" s="70">
        <f t="shared" si="1"/>
        <v>0.64450474898236088</v>
      </c>
      <c r="K42" s="70">
        <f t="shared" si="2"/>
        <v>9.2051576402501362E-5</v>
      </c>
      <c r="L42" t="str" cm="1">
        <f t="array" ref="L42">_xlfn.IFS(I42&gt;5%,"HIGH RISK",I42&lt;2%,"LOW RISK",OR(I42&gt;2%,I42&lt;5%),"MODERATE RISK")</f>
        <v>MODERATE RISK</v>
      </c>
      <c r="M42" t="str" cm="1">
        <f t="array" ref="M42">_xlfn.IFS(I42&gt;5%,"HIGH RISK",AND(I42&gt;=2%,I42&lt;=5%),"MODERATE RISK",I42&lt;2%,"LOW RISK")</f>
        <v>MODERATE RISK</v>
      </c>
      <c r="N42" cm="1">
        <f t="array" ref="N42">_xlfn.IFS(M42="LOW RISK",1,M42="MODERATE RISK",2,M42="HIGH RISK",3)</f>
        <v>2</v>
      </c>
    </row>
    <row r="43" spans="1:14" x14ac:dyDescent="0.3">
      <c r="A43" s="50" t="s">
        <v>93</v>
      </c>
      <c r="B43" s="51">
        <v>15841</v>
      </c>
      <c r="C43" s="51">
        <v>115</v>
      </c>
      <c r="D43" s="51">
        <v>3824</v>
      </c>
      <c r="E43" s="51">
        <v>11902</v>
      </c>
      <c r="F43" s="51">
        <v>5098730</v>
      </c>
      <c r="G43" s="50" t="s">
        <v>29</v>
      </c>
      <c r="H43" s="52">
        <v>43896</v>
      </c>
      <c r="I43" s="70">
        <f t="shared" si="0"/>
        <v>7.2596426993245377E-3</v>
      </c>
      <c r="J43" s="70">
        <f t="shared" si="1"/>
        <v>0.24139890158449592</v>
      </c>
      <c r="K43" s="70">
        <f t="shared" si="2"/>
        <v>3.1068520984637352E-3</v>
      </c>
      <c r="L43" t="str" cm="1">
        <f t="array" ref="L43">_xlfn.IFS(I43&gt;5%,"HIGH RISK",I43&lt;2%,"LOW RISK",OR(I43&gt;2%,I43&lt;5%),"MODERATE RISK")</f>
        <v>LOW RISK</v>
      </c>
      <c r="M43" t="str" cm="1">
        <f t="array" ref="M43">_xlfn.IFS(I43&gt;5%,"HIGH RISK",AND(I43&gt;=2%,I43&lt;=5%),"MODERATE RISK",I43&lt;2%,"LOW RISK")</f>
        <v>LOW RISK</v>
      </c>
      <c r="N43" cm="1">
        <f t="array" ref="N43">_xlfn.IFS(M43="LOW RISK",1,M43="MODERATE RISK",2,M43="HIGH RISK",3)</f>
        <v>1</v>
      </c>
    </row>
    <row r="44" spans="1:14" x14ac:dyDescent="0.3">
      <c r="A44" s="47" t="s">
        <v>94</v>
      </c>
      <c r="B44" s="48">
        <v>15655</v>
      </c>
      <c r="C44" s="48">
        <v>96</v>
      </c>
      <c r="D44" s="48">
        <v>10361</v>
      </c>
      <c r="E44" s="48">
        <v>5198</v>
      </c>
      <c r="F44" s="53">
        <v>26172000</v>
      </c>
      <c r="G44" s="47" t="s">
        <v>25</v>
      </c>
      <c r="H44" s="49">
        <v>43901</v>
      </c>
      <c r="I44" s="70">
        <f t="shared" si="0"/>
        <v>6.1322261258383902E-3</v>
      </c>
      <c r="J44" s="70">
        <f t="shared" si="1"/>
        <v>0.66183328010220377</v>
      </c>
      <c r="K44" s="70">
        <f t="shared" si="2"/>
        <v>5.9815833715421058E-4</v>
      </c>
      <c r="L44" t="str" cm="1">
        <f t="array" ref="L44">_xlfn.IFS(I44&gt;5%,"HIGH RISK",I44&lt;2%,"LOW RISK",OR(I44&gt;2%,I44&lt;5%),"MODERATE RISK")</f>
        <v>LOW RISK</v>
      </c>
      <c r="M44" t="str" cm="1">
        <f t="array" ref="M44">_xlfn.IFS(I44&gt;5%,"HIGH RISK",AND(I44&gt;=2%,I44&lt;=5%),"MODERATE RISK",I44&lt;2%,"LOW RISK")</f>
        <v>LOW RISK</v>
      </c>
      <c r="N44" cm="1">
        <f t="array" ref="N44">_xlfn.IFS(M44="LOW RISK",1,M44="MODERATE RISK",2,M44="HIGH RISK",3)</f>
        <v>1</v>
      </c>
    </row>
    <row r="45" spans="1:14" x14ac:dyDescent="0.3">
      <c r="A45" s="50" t="s">
        <v>95</v>
      </c>
      <c r="B45" s="51">
        <v>4881</v>
      </c>
      <c r="C45" s="51">
        <v>139</v>
      </c>
      <c r="D45" s="51">
        <v>3936</v>
      </c>
      <c r="E45" s="51">
        <v>806</v>
      </c>
      <c r="F45" s="51">
        <v>4102577</v>
      </c>
      <c r="G45" s="50" t="s">
        <v>28</v>
      </c>
      <c r="H45" s="52">
        <v>43886</v>
      </c>
      <c r="I45" s="70">
        <f t="shared" si="0"/>
        <v>2.8477770948576113E-2</v>
      </c>
      <c r="J45" s="70">
        <f t="shared" si="1"/>
        <v>0.80639213275968036</v>
      </c>
      <c r="K45" s="70">
        <f t="shared" si="2"/>
        <v>1.1897400097548444E-3</v>
      </c>
      <c r="L45" t="str" cm="1">
        <f t="array" ref="L45">_xlfn.IFS(I45&gt;5%,"HIGH RISK",I45&lt;2%,"LOW RISK",OR(I45&gt;2%,I45&lt;5%),"MODERATE RISK")</f>
        <v>MODERATE RISK</v>
      </c>
      <c r="M45" t="str" cm="1">
        <f t="array" ref="M45">_xlfn.IFS(I45&gt;5%,"HIGH RISK",AND(I45&gt;=2%,I45&lt;=5%),"MODERATE RISK",I45&lt;2%,"LOW RISK")</f>
        <v>MODERATE RISK</v>
      </c>
      <c r="N45" cm="1">
        <f t="array" ref="N45">_xlfn.IFS(M45="LOW RISK",1,M45="MODERATE RISK",2,M45="HIGH RISK",3)</f>
        <v>2</v>
      </c>
    </row>
    <row r="46" spans="1:14" x14ac:dyDescent="0.3">
      <c r="A46" s="47" t="s">
        <v>96</v>
      </c>
      <c r="B46" s="48">
        <v>2532</v>
      </c>
      <c r="C46" s="48">
        <v>87</v>
      </c>
      <c r="D46" s="48">
        <v>2351</v>
      </c>
      <c r="E46" s="48">
        <v>94</v>
      </c>
      <c r="F46" s="48">
        <v>11325899</v>
      </c>
      <c r="G46" s="47" t="s">
        <v>29</v>
      </c>
      <c r="H46" s="49">
        <v>43901</v>
      </c>
      <c r="I46" s="70">
        <f t="shared" si="0"/>
        <v>3.4360189573459717E-2</v>
      </c>
      <c r="J46" s="70">
        <f t="shared" si="1"/>
        <v>0.92851500789889418</v>
      </c>
      <c r="K46" s="70">
        <f t="shared" si="2"/>
        <v>2.2355841244920161E-4</v>
      </c>
      <c r="L46" t="str" cm="1">
        <f t="array" ref="L46">_xlfn.IFS(I46&gt;5%,"HIGH RISK",I46&lt;2%,"LOW RISK",OR(I46&gt;2%,I46&lt;5%),"MODERATE RISK")</f>
        <v>MODERATE RISK</v>
      </c>
      <c r="M46" t="str" cm="1">
        <f t="array" ref="M46">_xlfn.IFS(I46&gt;5%,"HIGH RISK",AND(I46&gt;=2%,I46&lt;=5%),"MODERATE RISK",I46&lt;2%,"LOW RISK")</f>
        <v>MODERATE RISK</v>
      </c>
      <c r="N46" cm="1">
        <f t="array" ref="N46">_xlfn.IFS(M46="LOW RISK",1,M46="MODERATE RISK",2,M46="HIGH RISK",3)</f>
        <v>2</v>
      </c>
    </row>
    <row r="47" spans="1:14" x14ac:dyDescent="0.3">
      <c r="A47" s="50" t="s">
        <v>97</v>
      </c>
      <c r="B47" s="51">
        <v>1060</v>
      </c>
      <c r="C47" s="51">
        <v>19</v>
      </c>
      <c r="D47" s="51">
        <v>852</v>
      </c>
      <c r="E47" s="51">
        <v>189</v>
      </c>
      <c r="F47" s="51">
        <v>1208238</v>
      </c>
      <c r="G47" s="50" t="s">
        <v>26</v>
      </c>
      <c r="H47" s="52">
        <v>43899</v>
      </c>
      <c r="I47" s="70">
        <f t="shared" si="0"/>
        <v>1.7924528301886792E-2</v>
      </c>
      <c r="J47" s="70">
        <f t="shared" si="1"/>
        <v>0.80377358490566042</v>
      </c>
      <c r="K47" s="70">
        <f t="shared" si="2"/>
        <v>8.7731059609116749E-4</v>
      </c>
      <c r="L47" t="str" cm="1">
        <f t="array" ref="L47">_xlfn.IFS(I47&gt;5%,"HIGH RISK",I47&lt;2%,"LOW RISK",OR(I47&gt;2%,I47&lt;5%),"MODERATE RISK")</f>
        <v>LOW RISK</v>
      </c>
      <c r="M47" t="str" cm="1">
        <f t="array" ref="M47">_xlfn.IFS(I47&gt;5%,"HIGH RISK",AND(I47&gt;=2%,I47&lt;=5%),"MODERATE RISK",I47&lt;2%,"LOW RISK")</f>
        <v>LOW RISK</v>
      </c>
      <c r="N47" cm="1">
        <f t="array" ref="N47">_xlfn.IFS(M47="LOW RISK",1,M47="MODERATE RISK",2,M47="HIGH RISK",3)</f>
        <v>1</v>
      </c>
    </row>
    <row r="48" spans="1:14" x14ac:dyDescent="0.3">
      <c r="A48" s="47" t="s">
        <v>98</v>
      </c>
      <c r="B48" s="48">
        <v>15516</v>
      </c>
      <c r="C48" s="48">
        <v>373</v>
      </c>
      <c r="D48" s="48">
        <v>11428</v>
      </c>
      <c r="E48" s="48">
        <v>3715</v>
      </c>
      <c r="F48" s="48">
        <v>10711019</v>
      </c>
      <c r="G48" s="47" t="s">
        <v>28</v>
      </c>
      <c r="H48" s="49">
        <v>43891</v>
      </c>
      <c r="I48" s="70">
        <f t="shared" si="0"/>
        <v>2.4039700953854087E-2</v>
      </c>
      <c r="J48" s="70">
        <f t="shared" si="1"/>
        <v>0.7365300335137922</v>
      </c>
      <c r="K48" s="70">
        <f t="shared" si="2"/>
        <v>1.4486016689915311E-3</v>
      </c>
      <c r="L48" t="str" cm="1">
        <f t="array" ref="L48">_xlfn.IFS(I48&gt;5%,"HIGH RISK",I48&lt;2%,"LOW RISK",OR(I48&gt;2%,I48&lt;5%),"MODERATE RISK")</f>
        <v>MODERATE RISK</v>
      </c>
      <c r="M48" t="str" cm="1">
        <f t="array" ref="M48">_xlfn.IFS(I48&gt;5%,"HIGH RISK",AND(I48&gt;=2%,I48&lt;=5%),"MODERATE RISK",I48&lt;2%,"LOW RISK")</f>
        <v>MODERATE RISK</v>
      </c>
      <c r="N48" cm="1">
        <f t="array" ref="N48">_xlfn.IFS(M48="LOW RISK",1,M48="MODERATE RISK",2,M48="HIGH RISK",3)</f>
        <v>2</v>
      </c>
    </row>
    <row r="49" spans="1:14" x14ac:dyDescent="0.3">
      <c r="A49" s="50" t="s">
        <v>99</v>
      </c>
      <c r="B49" s="51">
        <v>13761</v>
      </c>
      <c r="C49" s="51">
        <v>613</v>
      </c>
      <c r="D49" s="51">
        <v>12605</v>
      </c>
      <c r="E49" s="51">
        <v>543</v>
      </c>
      <c r="F49" s="51">
        <v>5794279</v>
      </c>
      <c r="G49" s="50" t="s">
        <v>28</v>
      </c>
      <c r="H49" s="52">
        <v>43888</v>
      </c>
      <c r="I49" s="70">
        <f t="shared" si="0"/>
        <v>4.454618123682872E-2</v>
      </c>
      <c r="J49" s="70">
        <f t="shared" si="1"/>
        <v>0.91599447714555626</v>
      </c>
      <c r="K49" s="70">
        <f t="shared" si="2"/>
        <v>2.3749287875160997E-3</v>
      </c>
      <c r="L49" t="str" cm="1">
        <f t="array" ref="L49">_xlfn.IFS(I49&gt;5%,"HIGH RISK",I49&lt;2%,"LOW RISK",OR(I49&gt;2%,I49&lt;5%),"MODERATE RISK")</f>
        <v>MODERATE RISK</v>
      </c>
      <c r="M49" t="str" cm="1">
        <f t="array" ref="M49">_xlfn.IFS(I49&gt;5%,"HIGH RISK",AND(I49&gt;=2%,I49&lt;=5%),"MODERATE RISK",I49&lt;2%,"LOW RISK")</f>
        <v>MODERATE RISK</v>
      </c>
      <c r="N49" cm="1">
        <f t="array" ref="N49">_xlfn.IFS(M49="LOW RISK",1,M49="MODERATE RISK",2,M49="HIGH RISK",3)</f>
        <v>2</v>
      </c>
    </row>
    <row r="50" spans="1:14" x14ac:dyDescent="0.3">
      <c r="A50" s="47" t="s">
        <v>100</v>
      </c>
      <c r="B50" s="48">
        <v>5059</v>
      </c>
      <c r="C50" s="48">
        <v>58</v>
      </c>
      <c r="D50" s="48">
        <v>4977</v>
      </c>
      <c r="E50" s="48">
        <v>24</v>
      </c>
      <c r="F50" s="48">
        <v>989387</v>
      </c>
      <c r="G50" s="47" t="s">
        <v>25</v>
      </c>
      <c r="H50" s="49">
        <v>43908</v>
      </c>
      <c r="I50" s="70">
        <f t="shared" si="0"/>
        <v>1.1464716347104172E-2</v>
      </c>
      <c r="J50" s="70">
        <f t="shared" si="1"/>
        <v>0.98379126309547338</v>
      </c>
      <c r="K50" s="70">
        <f t="shared" si="2"/>
        <v>5.1132671037723357E-3</v>
      </c>
      <c r="L50" t="str" cm="1">
        <f t="array" ref="L50">_xlfn.IFS(I50&gt;5%,"HIGH RISK",I50&lt;2%,"LOW RISK",OR(I50&gt;2%,I50&lt;5%),"MODERATE RISK")</f>
        <v>LOW RISK</v>
      </c>
      <c r="M50" t="str" cm="1">
        <f t="array" ref="M50">_xlfn.IFS(I50&gt;5%,"HIGH RISK",AND(I50&gt;=2%,I50&lt;=5%),"MODERATE RISK",I50&lt;2%,"LOW RISK")</f>
        <v>LOW RISK</v>
      </c>
      <c r="N50" cm="1">
        <f t="array" ref="N50">_xlfn.IFS(M50="LOW RISK",1,M50="MODERATE RISK",2,M50="HIGH RISK",3)</f>
        <v>1</v>
      </c>
    </row>
    <row r="51" spans="1:14" x14ac:dyDescent="0.3">
      <c r="A51" s="50" t="s">
        <v>101</v>
      </c>
      <c r="B51" s="51">
        <v>18</v>
      </c>
      <c r="C51" s="51">
        <v>0</v>
      </c>
      <c r="D51" s="51">
        <v>18</v>
      </c>
      <c r="E51" s="51">
        <v>0</v>
      </c>
      <c r="F51" s="51">
        <v>72004</v>
      </c>
      <c r="G51" s="50" t="s">
        <v>29</v>
      </c>
      <c r="H51" s="52">
        <v>43912</v>
      </c>
      <c r="I51" s="70">
        <f t="shared" si="0"/>
        <v>0</v>
      </c>
      <c r="J51" s="70">
        <f t="shared" si="1"/>
        <v>1</v>
      </c>
      <c r="K51" s="70">
        <f t="shared" si="2"/>
        <v>2.4998611188267316E-4</v>
      </c>
      <c r="L51" t="str" cm="1">
        <f t="array" ref="L51">_xlfn.IFS(I51&gt;5%,"HIGH RISK",I51&lt;2%,"LOW RISK",OR(I51&gt;2%,I51&lt;5%),"MODERATE RISK")</f>
        <v>LOW RISK</v>
      </c>
      <c r="M51" t="str" cm="1">
        <f t="array" ref="M51">_xlfn.IFS(I51&gt;5%,"HIGH RISK",AND(I51&gt;=2%,I51&lt;=5%),"MODERATE RISK",I51&lt;2%,"LOW RISK")</f>
        <v>LOW RISK</v>
      </c>
      <c r="N51" cm="1">
        <f t="array" ref="N51">_xlfn.IFS(M51="LOW RISK",1,M51="MODERATE RISK",2,M51="HIGH RISK",3)</f>
        <v>1</v>
      </c>
    </row>
    <row r="52" spans="1:14" x14ac:dyDescent="0.3">
      <c r="A52" s="47" t="s">
        <v>102</v>
      </c>
      <c r="B52" s="48">
        <v>64156</v>
      </c>
      <c r="C52" s="48">
        <v>1083</v>
      </c>
      <c r="D52" s="48">
        <v>30204</v>
      </c>
      <c r="E52" s="48">
        <v>32869</v>
      </c>
      <c r="F52" s="48">
        <v>10858648</v>
      </c>
      <c r="G52" s="47" t="s">
        <v>29</v>
      </c>
      <c r="H52" s="49">
        <v>43891</v>
      </c>
      <c r="I52" s="70">
        <f t="shared" si="0"/>
        <v>1.688072822495168E-2</v>
      </c>
      <c r="J52" s="70">
        <f t="shared" si="1"/>
        <v>0.47078994949809838</v>
      </c>
      <c r="K52" s="70">
        <f t="shared" si="2"/>
        <v>5.9082861881147638E-3</v>
      </c>
      <c r="L52" t="str" cm="1">
        <f t="array" ref="L52">_xlfn.IFS(I52&gt;5%,"HIGH RISK",I52&lt;2%,"LOW RISK",OR(I52&gt;2%,I52&lt;5%),"MODERATE RISK")</f>
        <v>LOW RISK</v>
      </c>
      <c r="M52" t="str" cm="1">
        <f t="array" ref="M52">_xlfn.IFS(I52&gt;5%,"HIGH RISK",AND(I52&gt;=2%,I52&lt;=5%),"MODERATE RISK",I52&lt;2%,"LOW RISK")</f>
        <v>LOW RISK</v>
      </c>
      <c r="N52" cm="1">
        <f t="array" ref="N52">_xlfn.IFS(M52="LOW RISK",1,M52="MODERATE RISK",2,M52="HIGH RISK",3)</f>
        <v>1</v>
      </c>
    </row>
    <row r="53" spans="1:14" x14ac:dyDescent="0.3">
      <c r="A53" s="50" t="s">
        <v>103</v>
      </c>
      <c r="B53" s="51">
        <v>81161</v>
      </c>
      <c r="C53" s="51">
        <v>5532</v>
      </c>
      <c r="D53" s="51">
        <v>34896</v>
      </c>
      <c r="E53" s="51">
        <v>40733</v>
      </c>
      <c r="F53" s="51">
        <v>17668824</v>
      </c>
      <c r="G53" s="50" t="s">
        <v>30</v>
      </c>
      <c r="H53" s="52">
        <v>43890</v>
      </c>
      <c r="I53" s="70">
        <f t="shared" si="0"/>
        <v>6.8160816155542689E-2</v>
      </c>
      <c r="J53" s="70">
        <f t="shared" si="1"/>
        <v>0.42996020256034301</v>
      </c>
      <c r="K53" s="70">
        <f t="shared" si="2"/>
        <v>4.5934579460410038E-3</v>
      </c>
      <c r="L53" t="str" cm="1">
        <f t="array" ref="L53">_xlfn.IFS(I53&gt;5%,"HIGH RISK",I53&lt;2%,"LOW RISK",OR(I53&gt;2%,I53&lt;5%),"MODERATE RISK")</f>
        <v>HIGH RISK</v>
      </c>
      <c r="M53" t="str" cm="1">
        <f t="array" ref="M53">_xlfn.IFS(I53&gt;5%,"HIGH RISK",AND(I53&gt;=2%,I53&lt;=5%),"MODERATE RISK",I53&lt;2%,"LOW RISK")</f>
        <v>HIGH RISK</v>
      </c>
      <c r="N53" cm="1">
        <f t="array" ref="N53">_xlfn.IFS(M53="LOW RISK",1,M53="MODERATE RISK",2,M53="HIGH RISK",3)</f>
        <v>3</v>
      </c>
    </row>
    <row r="54" spans="1:14" x14ac:dyDescent="0.3">
      <c r="A54" s="47" t="s">
        <v>104</v>
      </c>
      <c r="B54" s="48">
        <v>92482</v>
      </c>
      <c r="C54" s="48">
        <v>4652</v>
      </c>
      <c r="D54" s="48">
        <v>34838</v>
      </c>
      <c r="E54" s="48">
        <v>52992</v>
      </c>
      <c r="F54" s="48">
        <v>102516525</v>
      </c>
      <c r="G54" s="47" t="s">
        <v>25</v>
      </c>
      <c r="H54" s="49">
        <v>43875</v>
      </c>
      <c r="I54" s="70">
        <f t="shared" si="0"/>
        <v>5.0301680326982547E-2</v>
      </c>
      <c r="J54" s="70">
        <f t="shared" si="1"/>
        <v>0.37670033087519733</v>
      </c>
      <c r="K54" s="70">
        <f t="shared" si="2"/>
        <v>9.0211797561417541E-4</v>
      </c>
      <c r="L54" t="str" cm="1">
        <f t="array" ref="L54">_xlfn.IFS(I54&gt;5%,"HIGH RISK",I54&lt;2%,"LOW RISK",OR(I54&gt;2%,I54&lt;5%),"MODERATE RISK")</f>
        <v>HIGH RISK</v>
      </c>
      <c r="M54" t="str" cm="1">
        <f t="array" ref="M54">_xlfn.IFS(I54&gt;5%,"HIGH RISK",AND(I54&gt;=2%,I54&lt;=5%),"MODERATE RISK",I54&lt;2%,"LOW RISK")</f>
        <v>HIGH RISK</v>
      </c>
      <c r="N54" cm="1">
        <f t="array" ref="N54">_xlfn.IFS(M54="LOW RISK",1,M54="MODERATE RISK",2,M54="HIGH RISK",3)</f>
        <v>3</v>
      </c>
    </row>
    <row r="55" spans="1:14" x14ac:dyDescent="0.3">
      <c r="A55" s="50" t="s">
        <v>105</v>
      </c>
      <c r="B55" s="51">
        <v>15035</v>
      </c>
      <c r="C55" s="51">
        <v>408</v>
      </c>
      <c r="D55" s="51">
        <v>7778</v>
      </c>
      <c r="E55" s="51">
        <v>6849</v>
      </c>
      <c r="F55" s="51">
        <v>6489514</v>
      </c>
      <c r="G55" s="50" t="s">
        <v>29</v>
      </c>
      <c r="H55" s="52">
        <v>43909</v>
      </c>
      <c r="I55" s="70">
        <f t="shared" si="0"/>
        <v>2.7136681077485868E-2</v>
      </c>
      <c r="J55" s="70">
        <f t="shared" si="1"/>
        <v>0.51732623877618888</v>
      </c>
      <c r="K55" s="70">
        <f t="shared" si="2"/>
        <v>2.3168144794818227E-3</v>
      </c>
      <c r="L55" t="str" cm="1">
        <f t="array" ref="L55">_xlfn.IFS(I55&gt;5%,"HIGH RISK",I55&lt;2%,"LOW RISK",OR(I55&gt;2%,I55&lt;5%),"MODERATE RISK")</f>
        <v>MODERATE RISK</v>
      </c>
      <c r="M55" t="str" cm="1">
        <f t="array" ref="M55">_xlfn.IFS(I55&gt;5%,"HIGH RISK",AND(I55&gt;=2%,I55&lt;=5%),"MODERATE RISK",I55&lt;2%,"LOW RISK")</f>
        <v>MODERATE RISK</v>
      </c>
      <c r="N55" cm="1">
        <f t="array" ref="N55">_xlfn.IFS(M55="LOW RISK",1,M55="MODERATE RISK",2,M55="HIGH RISK",3)</f>
        <v>2</v>
      </c>
    </row>
    <row r="56" spans="1:14" x14ac:dyDescent="0.3">
      <c r="A56" s="47" t="s">
        <v>106</v>
      </c>
      <c r="B56" s="48">
        <v>3071</v>
      </c>
      <c r="C56" s="48">
        <v>51</v>
      </c>
      <c r="D56" s="48">
        <v>842</v>
      </c>
      <c r="E56" s="48">
        <v>2178</v>
      </c>
      <c r="F56" s="48">
        <v>1407001</v>
      </c>
      <c r="G56" s="47" t="s">
        <v>25</v>
      </c>
      <c r="H56" s="49">
        <v>43904</v>
      </c>
      <c r="I56" s="70">
        <f t="shared" si="0"/>
        <v>1.6606968414197329E-2</v>
      </c>
      <c r="J56" s="70">
        <f t="shared" si="1"/>
        <v>0.27417779225008143</v>
      </c>
      <c r="K56" s="70">
        <f t="shared" si="2"/>
        <v>2.1826565865980196E-3</v>
      </c>
      <c r="L56" t="str" cm="1">
        <f t="array" ref="L56">_xlfn.IFS(I56&gt;5%,"HIGH RISK",I56&lt;2%,"LOW RISK",OR(I56&gt;2%,I56&lt;5%),"MODERATE RISK")</f>
        <v>LOW RISK</v>
      </c>
      <c r="M56" t="str" cm="1">
        <f t="array" ref="M56">_xlfn.IFS(I56&gt;5%,"HIGH RISK",AND(I56&gt;=2%,I56&lt;=5%),"MODERATE RISK",I56&lt;2%,"LOW RISK")</f>
        <v>LOW RISK</v>
      </c>
      <c r="N56" cm="1">
        <f t="array" ref="N56">_xlfn.IFS(M56="LOW RISK",1,M56="MODERATE RISK",2,M56="HIGH RISK",3)</f>
        <v>1</v>
      </c>
    </row>
    <row r="57" spans="1:14" x14ac:dyDescent="0.3">
      <c r="A57" s="50" t="s">
        <v>107</v>
      </c>
      <c r="B57" s="51">
        <v>265</v>
      </c>
      <c r="C57" s="51">
        <v>0</v>
      </c>
      <c r="D57" s="51">
        <v>191</v>
      </c>
      <c r="E57" s="51">
        <v>74</v>
      </c>
      <c r="F57" s="51">
        <v>3551175</v>
      </c>
      <c r="G57" s="50" t="s">
        <v>25</v>
      </c>
      <c r="H57" s="52">
        <v>43911</v>
      </c>
      <c r="I57" s="70">
        <f t="shared" si="0"/>
        <v>0</v>
      </c>
      <c r="J57" s="70">
        <f t="shared" si="1"/>
        <v>0.72075471698113203</v>
      </c>
      <c r="K57" s="70">
        <f t="shared" si="2"/>
        <v>7.4623188099713479E-5</v>
      </c>
      <c r="L57" t="str" cm="1">
        <f t="array" ref="L57">_xlfn.IFS(I57&gt;5%,"HIGH RISK",I57&lt;2%,"LOW RISK",OR(I57&gt;2%,I57&lt;5%),"MODERATE RISK")</f>
        <v>LOW RISK</v>
      </c>
      <c r="M57" t="str" cm="1">
        <f t="array" ref="M57">_xlfn.IFS(I57&gt;5%,"HIGH RISK",AND(I57&gt;=2%,I57&lt;=5%),"MODERATE RISK",I57&lt;2%,"LOW RISK")</f>
        <v>LOW RISK</v>
      </c>
      <c r="N57" cm="1">
        <f t="array" ref="N57">_xlfn.IFS(M57="LOW RISK",1,M57="MODERATE RISK",2,M57="HIGH RISK",3)</f>
        <v>1</v>
      </c>
    </row>
    <row r="58" spans="1:14" x14ac:dyDescent="0.3">
      <c r="A58" s="47" t="s">
        <v>108</v>
      </c>
      <c r="B58" s="48">
        <v>2034</v>
      </c>
      <c r="C58" s="48">
        <v>69</v>
      </c>
      <c r="D58" s="48">
        <v>1923</v>
      </c>
      <c r="E58" s="48">
        <v>42</v>
      </c>
      <c r="F58" s="48">
        <v>1326627</v>
      </c>
      <c r="G58" s="47" t="s">
        <v>28</v>
      </c>
      <c r="H58" s="49">
        <v>43888</v>
      </c>
      <c r="I58" s="70">
        <f t="shared" si="0"/>
        <v>3.3923303834808259E-2</v>
      </c>
      <c r="J58" s="70">
        <f t="shared" si="1"/>
        <v>0.94542772861356927</v>
      </c>
      <c r="K58" s="70">
        <f t="shared" si="2"/>
        <v>1.5332116714042456E-3</v>
      </c>
      <c r="L58" t="str" cm="1">
        <f t="array" ref="L58">_xlfn.IFS(I58&gt;5%,"HIGH RISK",I58&lt;2%,"LOW RISK",OR(I58&gt;2%,I58&lt;5%),"MODERATE RISK")</f>
        <v>MODERATE RISK</v>
      </c>
      <c r="M58" t="str" cm="1">
        <f t="array" ref="M58">_xlfn.IFS(I58&gt;5%,"HIGH RISK",AND(I58&gt;=2%,I58&lt;=5%),"MODERATE RISK",I58&lt;2%,"LOW RISK")</f>
        <v>MODERATE RISK</v>
      </c>
      <c r="N58" cm="1">
        <f t="array" ref="N58">_xlfn.IFS(M58="LOW RISK",1,M58="MODERATE RISK",2,M58="HIGH RISK",3)</f>
        <v>2</v>
      </c>
    </row>
    <row r="59" spans="1:14" x14ac:dyDescent="0.3">
      <c r="A59" s="50" t="s">
        <v>109</v>
      </c>
      <c r="B59" s="51">
        <v>2316</v>
      </c>
      <c r="C59" s="51">
        <v>34</v>
      </c>
      <c r="D59" s="51">
        <v>1025</v>
      </c>
      <c r="E59" s="51">
        <v>1257</v>
      </c>
      <c r="F59" s="51">
        <v>1161348</v>
      </c>
      <c r="G59" s="50" t="s">
        <v>25</v>
      </c>
      <c r="H59" s="52">
        <v>43904</v>
      </c>
      <c r="I59" s="70">
        <f t="shared" si="0"/>
        <v>1.468048359240069E-2</v>
      </c>
      <c r="J59" s="70">
        <f t="shared" si="1"/>
        <v>0.442573402417962</v>
      </c>
      <c r="K59" s="70">
        <f t="shared" si="2"/>
        <v>1.9942342863637774E-3</v>
      </c>
      <c r="L59" t="str" cm="1">
        <f t="array" ref="L59">_xlfn.IFS(I59&gt;5%,"HIGH RISK",I59&lt;2%,"LOW RISK",OR(I59&gt;2%,I59&lt;5%),"MODERATE RISK")</f>
        <v>LOW RISK</v>
      </c>
      <c r="M59" t="str" cm="1">
        <f t="array" ref="M59">_xlfn.IFS(I59&gt;5%,"HIGH RISK",AND(I59&gt;=2%,I59&lt;=5%),"MODERATE RISK",I59&lt;2%,"LOW RISK")</f>
        <v>LOW RISK</v>
      </c>
      <c r="N59" cm="1">
        <f t="array" ref="N59">_xlfn.IFS(M59="LOW RISK",1,M59="MODERATE RISK",2,M59="HIGH RISK",3)</f>
        <v>1</v>
      </c>
    </row>
    <row r="60" spans="1:14" x14ac:dyDescent="0.3">
      <c r="A60" s="47" t="s">
        <v>110</v>
      </c>
      <c r="B60" s="48">
        <v>14547</v>
      </c>
      <c r="C60" s="48">
        <v>228</v>
      </c>
      <c r="D60" s="48">
        <v>6386</v>
      </c>
      <c r="E60" s="48">
        <v>7933</v>
      </c>
      <c r="F60" s="48">
        <v>115223736</v>
      </c>
      <c r="G60" s="47" t="s">
        <v>25</v>
      </c>
      <c r="H60" s="49">
        <v>43903</v>
      </c>
      <c r="I60" s="70">
        <f t="shared" si="0"/>
        <v>1.5673334708187256E-2</v>
      </c>
      <c r="J60" s="70">
        <f t="shared" si="1"/>
        <v>0.43899085722142023</v>
      </c>
      <c r="K60" s="70">
        <f t="shared" si="2"/>
        <v>1.2625002890029533E-4</v>
      </c>
      <c r="L60" t="str" cm="1">
        <f t="array" ref="L60">_xlfn.IFS(I60&gt;5%,"HIGH RISK",I60&lt;2%,"LOW RISK",OR(I60&gt;2%,I60&lt;5%),"MODERATE RISK")</f>
        <v>LOW RISK</v>
      </c>
      <c r="M60" t="str" cm="1">
        <f t="array" ref="M60">_xlfn.IFS(I60&gt;5%,"HIGH RISK",AND(I60&gt;=2%,I60&lt;=5%),"MODERATE RISK",I60&lt;2%,"LOW RISK")</f>
        <v>LOW RISK</v>
      </c>
      <c r="N60" cm="1">
        <f t="array" ref="N60">_xlfn.IFS(M60="LOW RISK",1,M60="MODERATE RISK",2,M60="HIGH RISK",3)</f>
        <v>1</v>
      </c>
    </row>
    <row r="61" spans="1:14" x14ac:dyDescent="0.3">
      <c r="A61" s="50" t="s">
        <v>111</v>
      </c>
      <c r="B61" s="51">
        <v>27</v>
      </c>
      <c r="C61" s="51">
        <v>0</v>
      </c>
      <c r="D61" s="51">
        <v>18</v>
      </c>
      <c r="E61" s="51">
        <v>9</v>
      </c>
      <c r="F61" s="51">
        <v>897095</v>
      </c>
      <c r="G61" s="50" t="s">
        <v>27</v>
      </c>
      <c r="H61" s="52">
        <v>43909</v>
      </c>
      <c r="I61" s="70">
        <f t="shared" si="0"/>
        <v>0</v>
      </c>
      <c r="J61" s="70">
        <f t="shared" si="1"/>
        <v>0.66666666666666663</v>
      </c>
      <c r="K61" s="70">
        <f t="shared" si="2"/>
        <v>3.0097146901944609E-5</v>
      </c>
      <c r="L61" t="str" cm="1">
        <f t="array" ref="L61">_xlfn.IFS(I61&gt;5%,"HIGH RISK",I61&lt;2%,"LOW RISK",OR(I61&gt;2%,I61&lt;5%),"MODERATE RISK")</f>
        <v>LOW RISK</v>
      </c>
      <c r="M61" t="str" cm="1">
        <f t="array" ref="M61">_xlfn.IFS(I61&gt;5%,"HIGH RISK",AND(I61&gt;=2%,I61&lt;=5%),"MODERATE RISK",I61&lt;2%,"LOW RISK")</f>
        <v>LOW RISK</v>
      </c>
      <c r="N61" cm="1">
        <f t="array" ref="N61">_xlfn.IFS(M61="LOW RISK",1,M61="MODERATE RISK",2,M61="HIGH RISK",3)</f>
        <v>1</v>
      </c>
    </row>
    <row r="62" spans="1:14" x14ac:dyDescent="0.3">
      <c r="A62" s="47" t="s">
        <v>112</v>
      </c>
      <c r="B62" s="48">
        <v>7398</v>
      </c>
      <c r="C62" s="48">
        <v>329</v>
      </c>
      <c r="D62" s="48">
        <v>6920</v>
      </c>
      <c r="E62" s="48">
        <v>149</v>
      </c>
      <c r="F62" s="48">
        <v>5541604</v>
      </c>
      <c r="G62" s="47" t="s">
        <v>28</v>
      </c>
      <c r="H62" s="49">
        <v>43887</v>
      </c>
      <c r="I62" s="70">
        <f t="shared" si="0"/>
        <v>4.4471478778048121E-2</v>
      </c>
      <c r="J62" s="70">
        <f t="shared" si="1"/>
        <v>0.93538794268721281</v>
      </c>
      <c r="K62" s="70">
        <f t="shared" si="2"/>
        <v>1.334992540066017E-3</v>
      </c>
      <c r="L62" t="str" cm="1">
        <f t="array" ref="L62">_xlfn.IFS(I62&gt;5%,"HIGH RISK",I62&lt;2%,"LOW RISK",OR(I62&gt;2%,I62&lt;5%),"MODERATE RISK")</f>
        <v>MODERATE RISK</v>
      </c>
      <c r="M62" t="str" cm="1">
        <f t="array" ref="M62">_xlfn.IFS(I62&gt;5%,"HIGH RISK",AND(I62&gt;=2%,I62&lt;=5%),"MODERATE RISK",I62&lt;2%,"LOW RISK")</f>
        <v>MODERATE RISK</v>
      </c>
      <c r="N62" cm="1">
        <f t="array" ref="N62">_xlfn.IFS(M62="LOW RISK",1,M62="MODERATE RISK",2,M62="HIGH RISK",3)</f>
        <v>2</v>
      </c>
    </row>
    <row r="63" spans="1:14" x14ac:dyDescent="0.3">
      <c r="A63" s="50" t="s">
        <v>113</v>
      </c>
      <c r="B63" s="51">
        <v>220352</v>
      </c>
      <c r="C63" s="51">
        <v>30212</v>
      </c>
      <c r="D63" s="51">
        <v>81212</v>
      </c>
      <c r="E63" s="51">
        <v>108928</v>
      </c>
      <c r="F63" s="51">
        <v>65288306</v>
      </c>
      <c r="G63" s="50" t="s">
        <v>28</v>
      </c>
      <c r="H63" s="52">
        <v>43826</v>
      </c>
      <c r="I63" s="70">
        <f t="shared" si="0"/>
        <v>0.13710790008713331</v>
      </c>
      <c r="J63" s="70">
        <f t="shared" si="1"/>
        <v>0.36855576532094103</v>
      </c>
      <c r="K63" s="70">
        <f t="shared" si="2"/>
        <v>3.3750607650932158E-3</v>
      </c>
      <c r="L63" t="str" cm="1">
        <f t="array" ref="L63">_xlfn.IFS(I63&gt;5%,"HIGH RISK",I63&lt;2%,"LOW RISK",OR(I63&gt;2%,I63&lt;5%),"MODERATE RISK")</f>
        <v>HIGH RISK</v>
      </c>
      <c r="M63" t="str" cm="1">
        <f t="array" ref="M63">_xlfn.IFS(I63&gt;5%,"HIGH RISK",AND(I63&gt;=2%,I63&lt;=5%),"MODERATE RISK",I63&lt;2%,"LOW RISK")</f>
        <v>HIGH RISK</v>
      </c>
      <c r="N63" cm="1">
        <f t="array" ref="N63">_xlfn.IFS(M63="LOW RISK",1,M63="MODERATE RISK",2,M63="HIGH RISK",3)</f>
        <v>3</v>
      </c>
    </row>
    <row r="64" spans="1:14" x14ac:dyDescent="0.3">
      <c r="A64" s="47" t="s">
        <v>114</v>
      </c>
      <c r="B64" s="48">
        <v>7189</v>
      </c>
      <c r="C64" s="48">
        <v>49</v>
      </c>
      <c r="D64" s="48">
        <v>4682</v>
      </c>
      <c r="E64" s="48">
        <v>2458</v>
      </c>
      <c r="F64" s="48">
        <v>2230563</v>
      </c>
      <c r="G64" s="47" t="s">
        <v>25</v>
      </c>
      <c r="H64" s="49">
        <v>43902</v>
      </c>
      <c r="I64" s="70">
        <f t="shared" si="0"/>
        <v>6.815968841285297E-3</v>
      </c>
      <c r="J64" s="70">
        <f t="shared" si="1"/>
        <v>0.65127277785505633</v>
      </c>
      <c r="K64" s="70">
        <f t="shared" si="2"/>
        <v>3.2229531288737417E-3</v>
      </c>
      <c r="L64" t="str" cm="1">
        <f t="array" ref="L64">_xlfn.IFS(I64&gt;5%,"HIGH RISK",I64&lt;2%,"LOW RISK",OR(I64&gt;2%,I64&lt;5%),"MODERATE RISK")</f>
        <v>LOW RISK</v>
      </c>
      <c r="M64" t="str" cm="1">
        <f t="array" ref="M64">_xlfn.IFS(I64&gt;5%,"HIGH RISK",AND(I64&gt;=2%,I64&lt;=5%),"MODERATE RISK",I64&lt;2%,"LOW RISK")</f>
        <v>LOW RISK</v>
      </c>
      <c r="N64" cm="1">
        <f t="array" ref="N64">_xlfn.IFS(M64="LOW RISK",1,M64="MODERATE RISK",2,M64="HIGH RISK",3)</f>
        <v>1</v>
      </c>
    </row>
    <row r="65" spans="1:14" x14ac:dyDescent="0.3">
      <c r="A65" s="50" t="s">
        <v>115</v>
      </c>
      <c r="B65" s="51">
        <v>326</v>
      </c>
      <c r="C65" s="51">
        <v>8</v>
      </c>
      <c r="D65" s="51">
        <v>66</v>
      </c>
      <c r="E65" s="51">
        <v>252</v>
      </c>
      <c r="F65" s="51">
        <v>2422754</v>
      </c>
      <c r="G65" s="50" t="s">
        <v>25</v>
      </c>
      <c r="H65" s="52">
        <v>43907</v>
      </c>
      <c r="I65" s="70">
        <f t="shared" si="0"/>
        <v>2.4539877300613498E-2</v>
      </c>
      <c r="J65" s="70">
        <f t="shared" si="1"/>
        <v>0.20245398773006135</v>
      </c>
      <c r="K65" s="70">
        <f t="shared" si="2"/>
        <v>1.345576150116768E-4</v>
      </c>
      <c r="L65" t="str" cm="1">
        <f t="array" ref="L65">_xlfn.IFS(I65&gt;5%,"HIGH RISK",I65&lt;2%,"LOW RISK",OR(I65&gt;2%,I65&lt;5%),"MODERATE RISK")</f>
        <v>MODERATE RISK</v>
      </c>
      <c r="M65" t="str" cm="1">
        <f t="array" ref="M65">_xlfn.IFS(I65&gt;5%,"HIGH RISK",AND(I65&gt;=2%,I65&lt;=5%),"MODERATE RISK",I65&lt;2%,"LOW RISK")</f>
        <v>MODERATE RISK</v>
      </c>
      <c r="N65" cm="1">
        <f t="array" ref="N65">_xlfn.IFS(M65="LOW RISK",1,M65="MODERATE RISK",2,M65="HIGH RISK",3)</f>
        <v>2</v>
      </c>
    </row>
    <row r="66" spans="1:14" x14ac:dyDescent="0.3">
      <c r="A66" s="47" t="s">
        <v>116</v>
      </c>
      <c r="B66" s="48">
        <v>1137</v>
      </c>
      <c r="C66" s="48">
        <v>16</v>
      </c>
      <c r="D66" s="48">
        <v>922</v>
      </c>
      <c r="E66" s="48">
        <v>199</v>
      </c>
      <c r="F66" s="48">
        <v>3988368</v>
      </c>
      <c r="G66" s="47" t="s">
        <v>26</v>
      </c>
      <c r="H66" s="49">
        <v>43887</v>
      </c>
      <c r="I66" s="70">
        <f t="shared" si="0"/>
        <v>1.4072119613016711E-2</v>
      </c>
      <c r="J66" s="70">
        <f t="shared" si="1"/>
        <v>0.81090589270008795</v>
      </c>
      <c r="K66" s="70">
        <f t="shared" si="2"/>
        <v>2.8507900976038319E-4</v>
      </c>
      <c r="L66" t="str" cm="1">
        <f t="array" ref="L66">_xlfn.IFS(I66&gt;5%,"HIGH RISK",I66&lt;2%,"LOW RISK",OR(I66&gt;2%,I66&lt;5%),"MODERATE RISK")</f>
        <v>LOW RISK</v>
      </c>
      <c r="M66" t="str" cm="1">
        <f t="array" ref="M66">_xlfn.IFS(I66&gt;5%,"HIGH RISK",AND(I66&gt;=2%,I66&lt;=5%),"MODERATE RISK",I66&lt;2%,"LOW RISK")</f>
        <v>LOW RISK</v>
      </c>
      <c r="N66" cm="1">
        <f t="array" ref="N66">_xlfn.IFS(M66="LOW RISK",1,M66="MODERATE RISK",2,M66="HIGH RISK",3)</f>
        <v>1</v>
      </c>
    </row>
    <row r="67" spans="1:14" x14ac:dyDescent="0.3">
      <c r="A67" s="50" t="s">
        <v>117</v>
      </c>
      <c r="B67" s="51">
        <v>207112</v>
      </c>
      <c r="C67" s="51">
        <v>9125</v>
      </c>
      <c r="D67" s="51">
        <v>190314</v>
      </c>
      <c r="E67" s="51">
        <v>7673</v>
      </c>
      <c r="F67" s="51">
        <v>83811260</v>
      </c>
      <c r="G67" s="50" t="s">
        <v>28</v>
      </c>
      <c r="H67" s="52">
        <v>43857</v>
      </c>
      <c r="I67" s="70">
        <f t="shared" ref="I67:I130" si="3">C67/B67</f>
        <v>4.4058287303487965E-2</v>
      </c>
      <c r="J67" s="70">
        <f t="shared" ref="J67:J130" si="4">D67/B67</f>
        <v>0.91889412491791878</v>
      </c>
      <c r="K67" s="70">
        <f t="shared" ref="K67:K130" si="5">B67/F67</f>
        <v>2.4711715347078664E-3</v>
      </c>
      <c r="L67" t="str" cm="1">
        <f t="array" ref="L67">_xlfn.IFS(I67&gt;5%,"HIGH RISK",I67&lt;2%,"LOW RISK",OR(I67&gt;2%,I67&lt;5%),"MODERATE RISK")</f>
        <v>MODERATE RISK</v>
      </c>
      <c r="M67" t="str" cm="1">
        <f t="array" ref="M67">_xlfn.IFS(I67&gt;5%,"HIGH RISK",AND(I67&gt;=2%,I67&lt;=5%),"MODERATE RISK",I67&lt;2%,"LOW RISK")</f>
        <v>MODERATE RISK</v>
      </c>
      <c r="N67" cm="1">
        <f t="array" ref="N67">_xlfn.IFS(M67="LOW RISK",1,M67="MODERATE RISK",2,M67="HIGH RISK",3)</f>
        <v>2</v>
      </c>
    </row>
    <row r="68" spans="1:14" x14ac:dyDescent="0.3">
      <c r="A68" s="47" t="s">
        <v>118</v>
      </c>
      <c r="B68" s="48">
        <v>33624</v>
      </c>
      <c r="C68" s="48">
        <v>168</v>
      </c>
      <c r="D68" s="48">
        <v>29801</v>
      </c>
      <c r="E68" s="48">
        <v>3655</v>
      </c>
      <c r="F68" s="48">
        <v>31133483</v>
      </c>
      <c r="G68" s="47" t="s">
        <v>25</v>
      </c>
      <c r="H68" s="49">
        <v>43902</v>
      </c>
      <c r="I68" s="70">
        <f t="shared" si="3"/>
        <v>4.9964311206281229E-3</v>
      </c>
      <c r="J68" s="70">
        <f t="shared" si="4"/>
        <v>0.88630145134427785</v>
      </c>
      <c r="K68" s="70">
        <f t="shared" si="5"/>
        <v>1.0799948081620036E-3</v>
      </c>
      <c r="L68" t="str" cm="1">
        <f t="array" ref="L68">_xlfn.IFS(I68&gt;5%,"HIGH RISK",I68&lt;2%,"LOW RISK",OR(I68&gt;2%,I68&lt;5%),"MODERATE RISK")</f>
        <v>LOW RISK</v>
      </c>
      <c r="M68" t="str" cm="1">
        <f t="array" ref="M68">_xlfn.IFS(I68&gt;5%,"HIGH RISK",AND(I68&gt;=2%,I68&lt;=5%),"MODERATE RISK",I68&lt;2%,"LOW RISK")</f>
        <v>LOW RISK</v>
      </c>
      <c r="N68" cm="1">
        <f t="array" ref="N68">_xlfn.IFS(M68="LOW RISK",1,M68="MODERATE RISK",2,M68="HIGH RISK",3)</f>
        <v>1</v>
      </c>
    </row>
    <row r="69" spans="1:14" x14ac:dyDescent="0.3">
      <c r="A69" s="50" t="s">
        <v>119</v>
      </c>
      <c r="B69" s="51">
        <v>4227</v>
      </c>
      <c r="C69" s="51">
        <v>202</v>
      </c>
      <c r="D69" s="51">
        <v>1374</v>
      </c>
      <c r="E69" s="51">
        <v>2651</v>
      </c>
      <c r="F69" s="51">
        <v>10417673</v>
      </c>
      <c r="G69" s="50" t="s">
        <v>28</v>
      </c>
      <c r="H69" s="52">
        <v>43887</v>
      </c>
      <c r="I69" s="70">
        <f t="shared" si="3"/>
        <v>4.7788029335225926E-2</v>
      </c>
      <c r="J69" s="70">
        <f t="shared" si="4"/>
        <v>0.32505322924059615</v>
      </c>
      <c r="K69" s="70">
        <f t="shared" si="5"/>
        <v>4.0575280103339776E-4</v>
      </c>
      <c r="L69" t="str" cm="1">
        <f t="array" ref="L69">_xlfn.IFS(I69&gt;5%,"HIGH RISK",I69&lt;2%,"LOW RISK",OR(I69&gt;2%,I69&lt;5%),"MODERATE RISK")</f>
        <v>MODERATE RISK</v>
      </c>
      <c r="M69" t="str" cm="1">
        <f t="array" ref="M69">_xlfn.IFS(I69&gt;5%,"HIGH RISK",AND(I69&gt;=2%,I69&lt;=5%),"MODERATE RISK",I69&lt;2%,"LOW RISK")</f>
        <v>MODERATE RISK</v>
      </c>
      <c r="N69" cm="1">
        <f t="array" ref="N69">_xlfn.IFS(M69="LOW RISK",1,M69="MODERATE RISK",2,M69="HIGH RISK",3)</f>
        <v>2</v>
      </c>
    </row>
    <row r="70" spans="1:14" x14ac:dyDescent="0.3">
      <c r="A70" s="47" t="s">
        <v>120</v>
      </c>
      <c r="B70" s="48">
        <v>14</v>
      </c>
      <c r="C70" s="48">
        <v>0</v>
      </c>
      <c r="D70" s="48">
        <v>13</v>
      </c>
      <c r="E70" s="48">
        <v>1</v>
      </c>
      <c r="F70" s="48">
        <v>56780</v>
      </c>
      <c r="G70" s="47" t="s">
        <v>29</v>
      </c>
      <c r="H70" s="49">
        <v>43898</v>
      </c>
      <c r="I70" s="70">
        <f t="shared" si="3"/>
        <v>0</v>
      </c>
      <c r="J70" s="70">
        <f t="shared" si="4"/>
        <v>0.9285714285714286</v>
      </c>
      <c r="K70" s="70">
        <f t="shared" si="5"/>
        <v>2.4656569214512151E-4</v>
      </c>
      <c r="L70" t="str" cm="1">
        <f t="array" ref="L70">_xlfn.IFS(I70&gt;5%,"HIGH RISK",I70&lt;2%,"LOW RISK",OR(I70&gt;2%,I70&lt;5%),"MODERATE RISK")</f>
        <v>LOW RISK</v>
      </c>
      <c r="M70" t="str" cm="1">
        <f t="array" ref="M70">_xlfn.IFS(I70&gt;5%,"HIGH RISK",AND(I70&gt;=2%,I70&lt;=5%),"MODERATE RISK",I70&lt;2%,"LOW RISK")</f>
        <v>LOW RISK</v>
      </c>
      <c r="N70" cm="1">
        <f t="array" ref="N70">_xlfn.IFS(M70="LOW RISK",1,M70="MODERATE RISK",2,M70="HIGH RISK",3)</f>
        <v>1</v>
      </c>
    </row>
    <row r="71" spans="1:14" x14ac:dyDescent="0.3">
      <c r="A71" s="50" t="s">
        <v>121</v>
      </c>
      <c r="B71" s="51">
        <v>23</v>
      </c>
      <c r="C71" s="51">
        <v>0</v>
      </c>
      <c r="D71" s="51">
        <v>23</v>
      </c>
      <c r="E71" s="51">
        <v>0</v>
      </c>
      <c r="F71" s="51">
        <v>112576</v>
      </c>
      <c r="G71" s="50" t="s">
        <v>29</v>
      </c>
      <c r="H71" s="52">
        <v>43912</v>
      </c>
      <c r="I71" s="70">
        <f t="shared" si="3"/>
        <v>0</v>
      </c>
      <c r="J71" s="70">
        <f t="shared" si="4"/>
        <v>1</v>
      </c>
      <c r="K71" s="70">
        <f t="shared" si="5"/>
        <v>2.0430642410460489E-4</v>
      </c>
      <c r="L71" t="str" cm="1">
        <f t="array" ref="L71">_xlfn.IFS(I71&gt;5%,"HIGH RISK",I71&lt;2%,"LOW RISK",OR(I71&gt;2%,I71&lt;5%),"MODERATE RISK")</f>
        <v>LOW RISK</v>
      </c>
      <c r="M71" t="str" cm="1">
        <f t="array" ref="M71">_xlfn.IFS(I71&gt;5%,"HIGH RISK",AND(I71&gt;=2%,I71&lt;=5%),"MODERATE RISK",I71&lt;2%,"LOW RISK")</f>
        <v>LOW RISK</v>
      </c>
      <c r="N71" cm="1">
        <f t="array" ref="N71">_xlfn.IFS(M71="LOW RISK",1,M71="MODERATE RISK",2,M71="HIGH RISK",3)</f>
        <v>1</v>
      </c>
    </row>
    <row r="72" spans="1:14" x14ac:dyDescent="0.3">
      <c r="A72" s="47" t="s">
        <v>122</v>
      </c>
      <c r="B72" s="48">
        <v>45309</v>
      </c>
      <c r="C72" s="48">
        <v>1761</v>
      </c>
      <c r="D72" s="48">
        <v>32455</v>
      </c>
      <c r="E72" s="48">
        <v>11093</v>
      </c>
      <c r="F72" s="48">
        <v>17946899</v>
      </c>
      <c r="G72" s="47" t="s">
        <v>29</v>
      </c>
      <c r="H72" s="49">
        <v>43903</v>
      </c>
      <c r="I72" s="70">
        <f t="shared" si="3"/>
        <v>3.8866450374097861E-2</v>
      </c>
      <c r="J72" s="70">
        <f t="shared" si="4"/>
        <v>0.71630360414045779</v>
      </c>
      <c r="K72" s="70">
        <f t="shared" si="5"/>
        <v>2.5246144194604318E-3</v>
      </c>
      <c r="L72" t="str" cm="1">
        <f t="array" ref="L72">_xlfn.IFS(I72&gt;5%,"HIGH RISK",I72&lt;2%,"LOW RISK",OR(I72&gt;2%,I72&lt;5%),"MODERATE RISK")</f>
        <v>MODERATE RISK</v>
      </c>
      <c r="M72" t="str" cm="1">
        <f t="array" ref="M72">_xlfn.IFS(I72&gt;5%,"HIGH RISK",AND(I72&gt;=2%,I72&lt;=5%),"MODERATE RISK",I72&lt;2%,"LOW RISK")</f>
        <v>MODERATE RISK</v>
      </c>
      <c r="N72" cm="1">
        <f t="array" ref="N72">_xlfn.IFS(M72="LOW RISK",1,M72="MODERATE RISK",2,M72="HIGH RISK",3)</f>
        <v>2</v>
      </c>
    </row>
    <row r="73" spans="1:14" x14ac:dyDescent="0.3">
      <c r="A73" s="50" t="s">
        <v>123</v>
      </c>
      <c r="B73" s="51">
        <v>7055</v>
      </c>
      <c r="C73" s="51">
        <v>45</v>
      </c>
      <c r="D73" s="51">
        <v>6257</v>
      </c>
      <c r="E73" s="51">
        <v>753</v>
      </c>
      <c r="F73" s="51">
        <v>13164905</v>
      </c>
      <c r="G73" s="50" t="s">
        <v>25</v>
      </c>
      <c r="H73" s="52">
        <v>43903</v>
      </c>
      <c r="I73" s="70">
        <f t="shared" si="3"/>
        <v>6.3784549964564135E-3</v>
      </c>
      <c r="J73" s="70">
        <f t="shared" si="4"/>
        <v>0.88688873139617297</v>
      </c>
      <c r="K73" s="70">
        <f t="shared" si="5"/>
        <v>5.3589448613567661E-4</v>
      </c>
      <c r="L73" t="str" cm="1">
        <f t="array" ref="L73">_xlfn.IFS(I73&gt;5%,"HIGH RISK",I73&lt;2%,"LOW RISK",OR(I73&gt;2%,I73&lt;5%),"MODERATE RISK")</f>
        <v>LOW RISK</v>
      </c>
      <c r="M73" t="str" cm="1">
        <f t="array" ref="M73">_xlfn.IFS(I73&gt;5%,"HIGH RISK",AND(I73&gt;=2%,I73&lt;=5%),"MODERATE RISK",I73&lt;2%,"LOW RISK")</f>
        <v>LOW RISK</v>
      </c>
      <c r="N73" cm="1">
        <f t="array" ref="N73">_xlfn.IFS(M73="LOW RISK",1,M73="MODERATE RISK",2,M73="HIGH RISK",3)</f>
        <v>1</v>
      </c>
    </row>
    <row r="74" spans="1:14" x14ac:dyDescent="0.3">
      <c r="A74" s="47" t="s">
        <v>124</v>
      </c>
      <c r="B74" s="48">
        <v>1954</v>
      </c>
      <c r="C74" s="48">
        <v>26</v>
      </c>
      <c r="D74" s="48">
        <v>803</v>
      </c>
      <c r="E74" s="48">
        <v>1125</v>
      </c>
      <c r="F74" s="48">
        <v>1972277</v>
      </c>
      <c r="G74" s="47" t="s">
        <v>25</v>
      </c>
      <c r="H74" s="49">
        <v>43915</v>
      </c>
      <c r="I74" s="70">
        <f t="shared" si="3"/>
        <v>1.3306038894575231E-2</v>
      </c>
      <c r="J74" s="70">
        <f t="shared" si="4"/>
        <v>0.41095189355168882</v>
      </c>
      <c r="K74" s="70">
        <f t="shared" si="5"/>
        <v>9.907330461187754E-4</v>
      </c>
      <c r="L74" t="str" cm="1">
        <f t="array" ref="L74">_xlfn.IFS(I74&gt;5%,"HIGH RISK",I74&lt;2%,"LOW RISK",OR(I74&gt;2%,I74&lt;5%),"MODERATE RISK")</f>
        <v>LOW RISK</v>
      </c>
      <c r="M74" t="str" cm="1">
        <f t="array" ref="M74">_xlfn.IFS(I74&gt;5%,"HIGH RISK",AND(I74&gt;=2%,I74&lt;=5%),"MODERATE RISK",I74&lt;2%,"LOW RISK")</f>
        <v>LOW RISK</v>
      </c>
      <c r="N74" cm="1">
        <f t="array" ref="N74">_xlfn.IFS(M74="LOW RISK",1,M74="MODERATE RISK",2,M74="HIGH RISK",3)</f>
        <v>1</v>
      </c>
    </row>
    <row r="75" spans="1:14" x14ac:dyDescent="0.3">
      <c r="A75" s="50" t="s">
        <v>125</v>
      </c>
      <c r="B75" s="51">
        <v>389</v>
      </c>
      <c r="C75" s="51">
        <v>20</v>
      </c>
      <c r="D75" s="51">
        <v>181</v>
      </c>
      <c r="E75" s="51">
        <v>188</v>
      </c>
      <c r="F75" s="51">
        <v>786936</v>
      </c>
      <c r="G75" s="50" t="s">
        <v>30</v>
      </c>
      <c r="H75" s="52">
        <v>43902</v>
      </c>
      <c r="I75" s="70">
        <f t="shared" si="3"/>
        <v>5.1413881748071981E-2</v>
      </c>
      <c r="J75" s="70">
        <f t="shared" si="4"/>
        <v>0.4652956298200514</v>
      </c>
      <c r="K75" s="70">
        <f t="shared" si="5"/>
        <v>4.943222828794209E-4</v>
      </c>
      <c r="L75" t="str" cm="1">
        <f t="array" ref="L75">_xlfn.IFS(I75&gt;5%,"HIGH RISK",I75&lt;2%,"LOW RISK",OR(I75&gt;2%,I75&lt;5%),"MODERATE RISK")</f>
        <v>HIGH RISK</v>
      </c>
      <c r="M75" t="str" cm="1">
        <f t="array" ref="M75">_xlfn.IFS(I75&gt;5%,"HIGH RISK",AND(I75&gt;=2%,I75&lt;=5%),"MODERATE RISK",I75&lt;2%,"LOW RISK")</f>
        <v>HIGH RISK</v>
      </c>
      <c r="N75" cm="1">
        <f t="array" ref="N75">_xlfn.IFS(M75="LOW RISK",1,M75="MODERATE RISK",2,M75="HIGH RISK",3)</f>
        <v>3</v>
      </c>
    </row>
    <row r="76" spans="1:14" x14ac:dyDescent="0.3">
      <c r="A76" s="47" t="s">
        <v>126</v>
      </c>
      <c r="B76" s="48">
        <v>7340</v>
      </c>
      <c r="C76" s="48">
        <v>158</v>
      </c>
      <c r="D76" s="48">
        <v>4365</v>
      </c>
      <c r="E76" s="48">
        <v>2817</v>
      </c>
      <c r="F76" s="48">
        <v>11416103</v>
      </c>
      <c r="G76" s="47" t="s">
        <v>29</v>
      </c>
      <c r="H76" s="49">
        <v>43909</v>
      </c>
      <c r="I76" s="70">
        <f t="shared" si="3"/>
        <v>2.1525885558583105E-2</v>
      </c>
      <c r="J76" s="70">
        <f t="shared" si="4"/>
        <v>0.59468664850136244</v>
      </c>
      <c r="K76" s="70">
        <f t="shared" si="5"/>
        <v>6.4295145199723587E-4</v>
      </c>
      <c r="L76" t="str" cm="1">
        <f t="array" ref="L76">_xlfn.IFS(I76&gt;5%,"HIGH RISK",I76&lt;2%,"LOW RISK",OR(I76&gt;2%,I76&lt;5%),"MODERATE RISK")</f>
        <v>MODERATE RISK</v>
      </c>
      <c r="M76" t="str" cm="1">
        <f t="array" ref="M76">_xlfn.IFS(I76&gt;5%,"HIGH RISK",AND(I76&gt;=2%,I76&lt;=5%),"MODERATE RISK",I76&lt;2%,"LOW RISK")</f>
        <v>MODERATE RISK</v>
      </c>
      <c r="N76" cm="1">
        <f t="array" ref="N76">_xlfn.IFS(M76="LOW RISK",1,M76="MODERATE RISK",2,M76="HIGH RISK",3)</f>
        <v>2</v>
      </c>
    </row>
    <row r="77" spans="1:14" x14ac:dyDescent="0.3">
      <c r="A77" s="50" t="s">
        <v>127</v>
      </c>
      <c r="B77" s="51">
        <v>12</v>
      </c>
      <c r="C77" s="51">
        <v>0</v>
      </c>
      <c r="D77" s="51">
        <v>12</v>
      </c>
      <c r="E77" s="51">
        <v>0</v>
      </c>
      <c r="F77" s="54">
        <v>528</v>
      </c>
      <c r="G77" s="50" t="s">
        <v>28</v>
      </c>
      <c r="H77" s="52">
        <v>43912</v>
      </c>
      <c r="I77" s="70">
        <f t="shared" si="3"/>
        <v>0</v>
      </c>
      <c r="J77" s="70">
        <f t="shared" si="4"/>
        <v>1</v>
      </c>
      <c r="K77" s="70">
        <f t="shared" si="5"/>
        <v>2.2727272727272728E-2</v>
      </c>
      <c r="L77" t="str" cm="1">
        <f t="array" ref="L77">_xlfn.IFS(I77&gt;5%,"HIGH RISK",I77&lt;2%,"LOW RISK",OR(I77&gt;2%,I77&lt;5%),"MODERATE RISK")</f>
        <v>LOW RISK</v>
      </c>
      <c r="M77" t="str" cm="1">
        <f t="array" ref="M77">_xlfn.IFS(I77&gt;5%,"HIGH RISK",AND(I77&gt;=2%,I77&lt;=5%),"MODERATE RISK",I77&lt;2%,"LOW RISK")</f>
        <v>LOW RISK</v>
      </c>
      <c r="N77" cm="1">
        <f t="array" ref="N77">_xlfn.IFS(M77="LOW RISK",1,M77="MODERATE RISK",2,M77="HIGH RISK",3)</f>
        <v>1</v>
      </c>
    </row>
    <row r="78" spans="1:14" x14ac:dyDescent="0.3">
      <c r="A78" s="47" t="s">
        <v>128</v>
      </c>
      <c r="B78" s="48">
        <v>39741</v>
      </c>
      <c r="C78" s="48">
        <v>1166</v>
      </c>
      <c r="D78" s="48">
        <v>5039</v>
      </c>
      <c r="E78" s="48">
        <v>33536</v>
      </c>
      <c r="F78" s="53">
        <v>10012084</v>
      </c>
      <c r="G78" s="47" t="s">
        <v>29</v>
      </c>
      <c r="H78" s="49">
        <v>43907</v>
      </c>
      <c r="I78" s="70">
        <f t="shared" si="3"/>
        <v>2.9339976346845827E-2</v>
      </c>
      <c r="J78" s="70">
        <f t="shared" si="4"/>
        <v>0.12679600412672051</v>
      </c>
      <c r="K78" s="70">
        <f t="shared" si="5"/>
        <v>3.9693034936582631E-3</v>
      </c>
      <c r="L78" t="str" cm="1">
        <f t="array" ref="L78">_xlfn.IFS(I78&gt;5%,"HIGH RISK",I78&lt;2%,"LOW RISK",OR(I78&gt;2%,I78&lt;5%),"MODERATE RISK")</f>
        <v>MODERATE RISK</v>
      </c>
      <c r="M78" t="str" cm="1">
        <f t="array" ref="M78">_xlfn.IFS(I78&gt;5%,"HIGH RISK",AND(I78&gt;=2%,I78&lt;=5%),"MODERATE RISK",I78&lt;2%,"LOW RISK")</f>
        <v>MODERATE RISK</v>
      </c>
      <c r="N78" cm="1">
        <f t="array" ref="N78">_xlfn.IFS(M78="LOW RISK",1,M78="MODERATE RISK",2,M78="HIGH RISK",3)</f>
        <v>2</v>
      </c>
    </row>
    <row r="79" spans="1:14" x14ac:dyDescent="0.3">
      <c r="A79" s="50" t="s">
        <v>129</v>
      </c>
      <c r="B79" s="51">
        <v>4448</v>
      </c>
      <c r="C79" s="51">
        <v>596</v>
      </c>
      <c r="D79" s="51">
        <v>3329</v>
      </c>
      <c r="E79" s="51">
        <v>523</v>
      </c>
      <c r="F79" s="51">
        <v>9657785</v>
      </c>
      <c r="G79" s="50" t="s">
        <v>28</v>
      </c>
      <c r="H79" s="52">
        <v>43894</v>
      </c>
      <c r="I79" s="70">
        <f t="shared" si="3"/>
        <v>0.13399280575539568</v>
      </c>
      <c r="J79" s="70">
        <f t="shared" si="4"/>
        <v>0.74842625899280579</v>
      </c>
      <c r="K79" s="70">
        <f t="shared" si="5"/>
        <v>4.6056109138896753E-4</v>
      </c>
      <c r="L79" t="str" cm="1">
        <f t="array" ref="L79">_xlfn.IFS(I79&gt;5%,"HIGH RISK",I79&lt;2%,"LOW RISK",OR(I79&gt;2%,I79&lt;5%),"MODERATE RISK")</f>
        <v>HIGH RISK</v>
      </c>
      <c r="M79" t="str" cm="1">
        <f t="array" ref="M79">_xlfn.IFS(I79&gt;5%,"HIGH RISK",AND(I79&gt;=2%,I79&lt;=5%),"MODERATE RISK",I79&lt;2%,"LOW RISK")</f>
        <v>HIGH RISK</v>
      </c>
      <c r="N79" cm="1">
        <f t="array" ref="N79">_xlfn.IFS(M79="LOW RISK",1,M79="MODERATE RISK",2,M79="HIGH RISK",3)</f>
        <v>3</v>
      </c>
    </row>
    <row r="80" spans="1:14" x14ac:dyDescent="0.3">
      <c r="A80" s="47" t="s">
        <v>130</v>
      </c>
      <c r="B80" s="48">
        <v>1854</v>
      </c>
      <c r="C80" s="48">
        <v>10</v>
      </c>
      <c r="D80" s="48">
        <v>1823</v>
      </c>
      <c r="E80" s="48">
        <v>21</v>
      </c>
      <c r="F80" s="48">
        <v>341465</v>
      </c>
      <c r="G80" s="47" t="s">
        <v>28</v>
      </c>
      <c r="H80" s="49">
        <v>43889</v>
      </c>
      <c r="I80" s="70">
        <f t="shared" si="3"/>
        <v>5.3937432578209281E-3</v>
      </c>
      <c r="J80" s="70">
        <f t="shared" si="4"/>
        <v>0.98327939590075508</v>
      </c>
      <c r="K80" s="70">
        <f t="shared" si="5"/>
        <v>5.4295462199639788E-3</v>
      </c>
      <c r="L80" t="str" cm="1">
        <f t="array" ref="L80">_xlfn.IFS(I80&gt;5%,"HIGH RISK",I80&lt;2%,"LOW RISK",OR(I80&gt;2%,I80&lt;5%),"MODERATE RISK")</f>
        <v>LOW RISK</v>
      </c>
      <c r="M80" t="str" cm="1">
        <f t="array" ref="M80">_xlfn.IFS(I80&gt;5%,"HIGH RISK",AND(I80&gt;=2%,I80&lt;=5%),"MODERATE RISK",I80&lt;2%,"LOW RISK")</f>
        <v>LOW RISK</v>
      </c>
      <c r="N80" cm="1">
        <f t="array" ref="N80">_xlfn.IFS(M80="LOW RISK",1,M80="MODERATE RISK",2,M80="HIGH RISK",3)</f>
        <v>1</v>
      </c>
    </row>
    <row r="81" spans="1:14" x14ac:dyDescent="0.3">
      <c r="A81" s="50" t="s">
        <v>5</v>
      </c>
      <c r="B81" s="51">
        <v>1480073</v>
      </c>
      <c r="C81" s="51">
        <v>33408</v>
      </c>
      <c r="D81" s="51">
        <v>951166</v>
      </c>
      <c r="E81" s="51">
        <v>495499</v>
      </c>
      <c r="F81" s="51">
        <v>1381344997</v>
      </c>
      <c r="G81" s="50" t="s">
        <v>26</v>
      </c>
      <c r="H81" s="52">
        <v>43860</v>
      </c>
      <c r="I81" s="70">
        <f t="shared" si="3"/>
        <v>2.2571859631247918E-2</v>
      </c>
      <c r="J81" s="70">
        <f t="shared" si="4"/>
        <v>0.64264803154979522</v>
      </c>
      <c r="K81" s="70">
        <f t="shared" si="5"/>
        <v>1.0714723716482247E-3</v>
      </c>
      <c r="L81" t="str" cm="1">
        <f t="array" ref="L81">_xlfn.IFS(I81&gt;5%,"HIGH RISK",I81&lt;2%,"LOW RISK",OR(I81&gt;2%,I81&lt;5%),"MODERATE RISK")</f>
        <v>MODERATE RISK</v>
      </c>
      <c r="M81" t="str" cm="1">
        <f t="array" ref="M81">_xlfn.IFS(I81&gt;5%,"HIGH RISK",AND(I81&gt;=2%,I81&lt;=5%),"MODERATE RISK",I81&lt;2%,"LOW RISK")</f>
        <v>MODERATE RISK</v>
      </c>
      <c r="N81" cm="1">
        <f t="array" ref="N81">_xlfn.IFS(M81="LOW RISK",1,M81="MODERATE RISK",2,M81="HIGH RISK",3)</f>
        <v>2</v>
      </c>
    </row>
    <row r="82" spans="1:14" x14ac:dyDescent="0.3">
      <c r="A82" s="47" t="s">
        <v>131</v>
      </c>
      <c r="B82" s="48">
        <v>100303</v>
      </c>
      <c r="C82" s="48">
        <v>4838</v>
      </c>
      <c r="D82" s="48">
        <v>58173</v>
      </c>
      <c r="E82" s="48">
        <v>37292</v>
      </c>
      <c r="F82" s="48">
        <v>273808365</v>
      </c>
      <c r="G82" s="47" t="s">
        <v>26</v>
      </c>
      <c r="H82" s="49">
        <v>43892</v>
      </c>
      <c r="I82" s="70">
        <f t="shared" si="3"/>
        <v>4.8233851430166598E-2</v>
      </c>
      <c r="J82" s="70">
        <f t="shared" si="4"/>
        <v>0.57997268277120329</v>
      </c>
      <c r="K82" s="70">
        <f t="shared" si="5"/>
        <v>3.6632555035343787E-4</v>
      </c>
      <c r="L82" t="str" cm="1">
        <f t="array" ref="L82">_xlfn.IFS(I82&gt;5%,"HIGH RISK",I82&lt;2%,"LOW RISK",OR(I82&gt;2%,I82&lt;5%),"MODERATE RISK")</f>
        <v>MODERATE RISK</v>
      </c>
      <c r="M82" t="str" cm="1">
        <f t="array" ref="M82">_xlfn.IFS(I82&gt;5%,"HIGH RISK",AND(I82&gt;=2%,I82&lt;=5%),"MODERATE RISK",I82&lt;2%,"LOW RISK")</f>
        <v>MODERATE RISK</v>
      </c>
      <c r="N82" cm="1">
        <f t="array" ref="N82">_xlfn.IFS(M82="LOW RISK",1,M82="MODERATE RISK",2,M82="HIGH RISK",3)</f>
        <v>2</v>
      </c>
    </row>
    <row r="83" spans="1:14" x14ac:dyDescent="0.3">
      <c r="A83" s="50" t="s">
        <v>6</v>
      </c>
      <c r="B83" s="51">
        <v>293606</v>
      </c>
      <c r="C83" s="51">
        <v>15912</v>
      </c>
      <c r="D83" s="51">
        <v>255144</v>
      </c>
      <c r="E83" s="51">
        <v>22550</v>
      </c>
      <c r="F83" s="51">
        <v>84097623</v>
      </c>
      <c r="G83" s="50" t="s">
        <v>26</v>
      </c>
      <c r="H83" s="52">
        <v>43880</v>
      </c>
      <c r="I83" s="70">
        <f t="shared" si="3"/>
        <v>5.4195077757266542E-2</v>
      </c>
      <c r="J83" s="70">
        <f t="shared" si="4"/>
        <v>0.86900131468702957</v>
      </c>
      <c r="K83" s="70">
        <f t="shared" si="5"/>
        <v>3.4912520654715772E-3</v>
      </c>
      <c r="L83" t="str" cm="1">
        <f t="array" ref="L83">_xlfn.IFS(I83&gt;5%,"HIGH RISK",I83&lt;2%,"LOW RISK",OR(I83&gt;2%,I83&lt;5%),"MODERATE RISK")</f>
        <v>HIGH RISK</v>
      </c>
      <c r="M83" t="str" cm="1">
        <f t="array" ref="M83">_xlfn.IFS(I83&gt;5%,"HIGH RISK",AND(I83&gt;=2%,I83&lt;=5%),"MODERATE RISK",I83&lt;2%,"LOW RISK")</f>
        <v>HIGH RISK</v>
      </c>
      <c r="N83" cm="1">
        <f t="array" ref="N83">_xlfn.IFS(M83="LOW RISK",1,M83="MODERATE RISK",2,M83="HIGH RISK",3)</f>
        <v>3</v>
      </c>
    </row>
    <row r="84" spans="1:14" x14ac:dyDescent="0.3">
      <c r="A84" s="47" t="s">
        <v>132</v>
      </c>
      <c r="B84" s="48">
        <v>112585</v>
      </c>
      <c r="C84" s="48">
        <v>4458</v>
      </c>
      <c r="D84" s="48">
        <v>77144</v>
      </c>
      <c r="E84" s="48">
        <v>30983</v>
      </c>
      <c r="F84" s="48">
        <v>40306025</v>
      </c>
      <c r="G84" s="47" t="s">
        <v>26</v>
      </c>
      <c r="H84" s="49">
        <v>43883</v>
      </c>
      <c r="I84" s="70">
        <f t="shared" si="3"/>
        <v>3.9596749122884932E-2</v>
      </c>
      <c r="J84" s="70">
        <f t="shared" si="4"/>
        <v>0.68520673269085575</v>
      </c>
      <c r="K84" s="70">
        <f t="shared" si="5"/>
        <v>2.7932548545781927E-3</v>
      </c>
      <c r="L84" t="str" cm="1">
        <f t="array" ref="L84">_xlfn.IFS(I84&gt;5%,"HIGH RISK",I84&lt;2%,"LOW RISK",OR(I84&gt;2%,I84&lt;5%),"MODERATE RISK")</f>
        <v>MODERATE RISK</v>
      </c>
      <c r="M84" t="str" cm="1">
        <f t="array" ref="M84">_xlfn.IFS(I84&gt;5%,"HIGH RISK",AND(I84&gt;=2%,I84&lt;=5%),"MODERATE RISK",I84&lt;2%,"LOW RISK")</f>
        <v>MODERATE RISK</v>
      </c>
      <c r="N84" cm="1">
        <f t="array" ref="N84">_xlfn.IFS(M84="LOW RISK",1,M84="MODERATE RISK",2,M84="HIGH RISK",3)</f>
        <v>2</v>
      </c>
    </row>
    <row r="85" spans="1:14" x14ac:dyDescent="0.3">
      <c r="A85" s="50" t="s">
        <v>133</v>
      </c>
      <c r="B85" s="51">
        <v>25892</v>
      </c>
      <c r="C85" s="51">
        <v>1764</v>
      </c>
      <c r="D85" s="51">
        <v>23364</v>
      </c>
      <c r="E85" s="51">
        <v>764</v>
      </c>
      <c r="F85" s="51">
        <v>4943200</v>
      </c>
      <c r="G85" s="50" t="s">
        <v>28</v>
      </c>
      <c r="H85" s="52">
        <v>43890</v>
      </c>
      <c r="I85" s="70">
        <f t="shared" si="3"/>
        <v>6.8129151861578863E-2</v>
      </c>
      <c r="J85" s="70">
        <f t="shared" si="4"/>
        <v>0.90236366445234051</v>
      </c>
      <c r="K85" s="70">
        <f t="shared" si="5"/>
        <v>5.2379025732319142E-3</v>
      </c>
      <c r="L85" t="str" cm="1">
        <f t="array" ref="L85">_xlfn.IFS(I85&gt;5%,"HIGH RISK",I85&lt;2%,"LOW RISK",OR(I85&gt;2%,I85&lt;5%),"MODERATE RISK")</f>
        <v>HIGH RISK</v>
      </c>
      <c r="M85" t="str" cm="1">
        <f t="array" ref="M85">_xlfn.IFS(I85&gt;5%,"HIGH RISK",AND(I85&gt;=2%,I85&lt;=5%),"MODERATE RISK",I85&lt;2%,"LOW RISK")</f>
        <v>HIGH RISK</v>
      </c>
      <c r="N85" cm="1">
        <f t="array" ref="N85">_xlfn.IFS(M85="LOW RISK",1,M85="MODERATE RISK",2,M85="HIGH RISK",3)</f>
        <v>3</v>
      </c>
    </row>
    <row r="86" spans="1:14" x14ac:dyDescent="0.3">
      <c r="A86" s="47" t="s">
        <v>134</v>
      </c>
      <c r="B86" s="48">
        <v>63985</v>
      </c>
      <c r="C86" s="48">
        <v>474</v>
      </c>
      <c r="D86" s="48">
        <v>27133</v>
      </c>
      <c r="E86" s="48">
        <v>36378</v>
      </c>
      <c r="F86" s="48">
        <v>9197590</v>
      </c>
      <c r="G86" s="47" t="s">
        <v>26</v>
      </c>
      <c r="H86" s="49">
        <v>43882</v>
      </c>
      <c r="I86" s="70">
        <f t="shared" si="3"/>
        <v>7.407986246776588E-3</v>
      </c>
      <c r="J86" s="70">
        <f t="shared" si="4"/>
        <v>0.42405251230757207</v>
      </c>
      <c r="K86" s="70">
        <f t="shared" si="5"/>
        <v>6.9567136608611607E-3</v>
      </c>
      <c r="L86" t="str" cm="1">
        <f t="array" ref="L86">_xlfn.IFS(I86&gt;5%,"HIGH RISK",I86&lt;2%,"LOW RISK",OR(I86&gt;2%,I86&lt;5%),"MODERATE RISK")</f>
        <v>LOW RISK</v>
      </c>
      <c r="M86" t="str" cm="1">
        <f t="array" ref="M86">_xlfn.IFS(I86&gt;5%,"HIGH RISK",AND(I86&gt;=2%,I86&lt;=5%),"MODERATE RISK",I86&lt;2%,"LOW RISK")</f>
        <v>LOW RISK</v>
      </c>
      <c r="N86" cm="1">
        <f t="array" ref="N86">_xlfn.IFS(M86="LOW RISK",1,M86="MODERATE RISK",2,M86="HIGH RISK",3)</f>
        <v>1</v>
      </c>
    </row>
    <row r="87" spans="1:14" x14ac:dyDescent="0.3">
      <c r="A87" s="50" t="s">
        <v>135</v>
      </c>
      <c r="B87" s="51">
        <v>246286</v>
      </c>
      <c r="C87" s="51">
        <v>35112</v>
      </c>
      <c r="D87" s="51">
        <v>198593</v>
      </c>
      <c r="E87" s="51">
        <v>12581</v>
      </c>
      <c r="F87" s="51">
        <v>60452568</v>
      </c>
      <c r="G87" s="50" t="s">
        <v>28</v>
      </c>
      <c r="H87" s="52">
        <v>43861</v>
      </c>
      <c r="I87" s="70">
        <f t="shared" si="3"/>
        <v>0.14256595990027854</v>
      </c>
      <c r="J87" s="70">
        <f t="shared" si="4"/>
        <v>0.80635115272488078</v>
      </c>
      <c r="K87" s="70">
        <f t="shared" si="5"/>
        <v>4.0740370202304726E-3</v>
      </c>
      <c r="L87" t="str" cm="1">
        <f t="array" ref="L87">_xlfn.IFS(I87&gt;5%,"HIGH RISK",I87&lt;2%,"LOW RISK",OR(I87&gt;2%,I87&lt;5%),"MODERATE RISK")</f>
        <v>HIGH RISK</v>
      </c>
      <c r="M87" t="str" cm="1">
        <f t="array" ref="M87">_xlfn.IFS(I87&gt;5%,"HIGH RISK",AND(I87&gt;=2%,I87&lt;=5%),"MODERATE RISK",I87&lt;2%,"LOW RISK")</f>
        <v>HIGH RISK</v>
      </c>
      <c r="N87" cm="1">
        <f t="array" ref="N87">_xlfn.IFS(M87="LOW RISK",1,M87="MODERATE RISK",2,M87="HIGH RISK",3)</f>
        <v>3</v>
      </c>
    </row>
    <row r="88" spans="1:14" x14ac:dyDescent="0.3">
      <c r="A88" s="47" t="s">
        <v>136</v>
      </c>
      <c r="B88" s="48">
        <v>853</v>
      </c>
      <c r="C88" s="48">
        <v>10</v>
      </c>
      <c r="D88" s="48">
        <v>714</v>
      </c>
      <c r="E88" s="48">
        <v>129</v>
      </c>
      <c r="F88" s="48">
        <v>2962478</v>
      </c>
      <c r="G88" s="47" t="s">
        <v>29</v>
      </c>
      <c r="H88" s="49">
        <v>43900</v>
      </c>
      <c r="I88" s="70">
        <f t="shared" si="3"/>
        <v>1.1723329425556858E-2</v>
      </c>
      <c r="J88" s="70">
        <f t="shared" si="4"/>
        <v>0.83704572098475971</v>
      </c>
      <c r="K88" s="70">
        <f t="shared" si="5"/>
        <v>2.8793462770018881E-4</v>
      </c>
      <c r="L88" t="str" cm="1">
        <f t="array" ref="L88">_xlfn.IFS(I88&gt;5%,"HIGH RISK",I88&lt;2%,"LOW RISK",OR(I88&gt;2%,I88&lt;5%),"MODERATE RISK")</f>
        <v>LOW RISK</v>
      </c>
      <c r="M88" t="str" cm="1">
        <f t="array" ref="M88">_xlfn.IFS(I88&gt;5%,"HIGH RISK",AND(I88&gt;=2%,I88&lt;=5%),"MODERATE RISK",I88&lt;2%,"LOW RISK")</f>
        <v>LOW RISK</v>
      </c>
      <c r="N88" cm="1">
        <f t="array" ref="N88">_xlfn.IFS(M88="LOW RISK",1,M88="MODERATE RISK",2,M88="HIGH RISK",3)</f>
        <v>1</v>
      </c>
    </row>
    <row r="89" spans="1:14" x14ac:dyDescent="0.3">
      <c r="A89" s="50" t="s">
        <v>137</v>
      </c>
      <c r="B89" s="51">
        <v>31142</v>
      </c>
      <c r="C89" s="51">
        <v>998</v>
      </c>
      <c r="D89" s="51">
        <v>21970</v>
      </c>
      <c r="E89" s="51">
        <v>8174</v>
      </c>
      <c r="F89" s="51">
        <v>126435859</v>
      </c>
      <c r="G89" s="50" t="s">
        <v>26</v>
      </c>
      <c r="H89" s="52">
        <v>43846</v>
      </c>
      <c r="I89" s="70">
        <f t="shared" si="3"/>
        <v>3.2046753580373774E-2</v>
      </c>
      <c r="J89" s="70">
        <f t="shared" si="4"/>
        <v>0.70547813242566304</v>
      </c>
      <c r="K89" s="70">
        <f t="shared" si="5"/>
        <v>2.4630670639094564E-4</v>
      </c>
      <c r="L89" t="str" cm="1">
        <f t="array" ref="L89">_xlfn.IFS(I89&gt;5%,"HIGH RISK",I89&lt;2%,"LOW RISK",OR(I89&gt;2%,I89&lt;5%),"MODERATE RISK")</f>
        <v>MODERATE RISK</v>
      </c>
      <c r="M89" t="str" cm="1">
        <f t="array" ref="M89">_xlfn.IFS(I89&gt;5%,"HIGH RISK",AND(I89&gt;=2%,I89&lt;=5%),"MODERATE RISK",I89&lt;2%,"LOW RISK")</f>
        <v>MODERATE RISK</v>
      </c>
      <c r="N89" cm="1">
        <f t="array" ref="N89">_xlfn.IFS(M89="LOW RISK",1,M89="MODERATE RISK",2,M89="HIGH RISK",3)</f>
        <v>2</v>
      </c>
    </row>
    <row r="90" spans="1:14" x14ac:dyDescent="0.3">
      <c r="A90" s="47" t="s">
        <v>138</v>
      </c>
      <c r="B90" s="48">
        <v>1176</v>
      </c>
      <c r="C90" s="48">
        <v>11</v>
      </c>
      <c r="D90" s="48">
        <v>1041</v>
      </c>
      <c r="E90" s="48">
        <v>124</v>
      </c>
      <c r="F90" s="48">
        <v>10213138</v>
      </c>
      <c r="G90" s="47" t="s">
        <v>26</v>
      </c>
      <c r="H90" s="49">
        <v>43892</v>
      </c>
      <c r="I90" s="70">
        <f t="shared" si="3"/>
        <v>9.3537414965986394E-3</v>
      </c>
      <c r="J90" s="70">
        <f t="shared" si="4"/>
        <v>0.88520408163265307</v>
      </c>
      <c r="K90" s="70">
        <f t="shared" si="5"/>
        <v>1.1514580533426651E-4</v>
      </c>
      <c r="L90" t="str" cm="1">
        <f t="array" ref="L90">_xlfn.IFS(I90&gt;5%,"HIGH RISK",I90&lt;2%,"LOW RISK",OR(I90&gt;2%,I90&lt;5%),"MODERATE RISK")</f>
        <v>LOW RISK</v>
      </c>
      <c r="M90" t="str" cm="1">
        <f t="array" ref="M90">_xlfn.IFS(I90&gt;5%,"HIGH RISK",AND(I90&gt;=2%,I90&lt;=5%),"MODERATE RISK",I90&lt;2%,"LOW RISK")</f>
        <v>LOW RISK</v>
      </c>
      <c r="N90" cm="1">
        <f t="array" ref="N90">_xlfn.IFS(M90="LOW RISK",1,M90="MODERATE RISK",2,M90="HIGH RISK",3)</f>
        <v>1</v>
      </c>
    </row>
    <row r="91" spans="1:14" x14ac:dyDescent="0.3">
      <c r="A91" s="50" t="s">
        <v>139</v>
      </c>
      <c r="B91" s="51">
        <v>84648</v>
      </c>
      <c r="C91" s="51">
        <v>585</v>
      </c>
      <c r="D91" s="51">
        <v>54404</v>
      </c>
      <c r="E91" s="51">
        <v>29659</v>
      </c>
      <c r="F91" s="51">
        <v>18798667</v>
      </c>
      <c r="G91" s="50" t="s">
        <v>26</v>
      </c>
      <c r="H91" s="52">
        <v>43903</v>
      </c>
      <c r="I91" s="70">
        <f t="shared" si="3"/>
        <v>6.9109724978735467E-3</v>
      </c>
      <c r="J91" s="70">
        <f t="shared" si="4"/>
        <v>0.64270862867403833</v>
      </c>
      <c r="K91" s="70">
        <f t="shared" si="5"/>
        <v>4.5028724643082409E-3</v>
      </c>
      <c r="L91" t="str" cm="1">
        <f t="array" ref="L91">_xlfn.IFS(I91&gt;5%,"HIGH RISK",I91&lt;2%,"LOW RISK",OR(I91&gt;2%,I91&lt;5%),"MODERATE RISK")</f>
        <v>LOW RISK</v>
      </c>
      <c r="M91" t="str" cm="1">
        <f t="array" ref="M91">_xlfn.IFS(I91&gt;5%,"HIGH RISK",AND(I91&gt;=2%,I91&lt;=5%),"MODERATE RISK",I91&lt;2%,"LOW RISK")</f>
        <v>LOW RISK</v>
      </c>
      <c r="N91" cm="1">
        <f t="array" ref="N91">_xlfn.IFS(M91="LOW RISK",1,M91="MODERATE RISK",2,M91="HIGH RISK",3)</f>
        <v>1</v>
      </c>
    </row>
    <row r="92" spans="1:14" x14ac:dyDescent="0.3">
      <c r="A92" s="47" t="s">
        <v>140</v>
      </c>
      <c r="B92" s="48">
        <v>17975</v>
      </c>
      <c r="C92" s="48">
        <v>285</v>
      </c>
      <c r="D92" s="48">
        <v>7833</v>
      </c>
      <c r="E92" s="48">
        <v>9857</v>
      </c>
      <c r="F92" s="48">
        <v>53881160</v>
      </c>
      <c r="G92" s="47" t="s">
        <v>25</v>
      </c>
      <c r="H92" s="49">
        <v>43903</v>
      </c>
      <c r="I92" s="70">
        <f t="shared" si="3"/>
        <v>1.5855354659248956E-2</v>
      </c>
      <c r="J92" s="70">
        <f t="shared" si="4"/>
        <v>0.4357719054242003</v>
      </c>
      <c r="K92" s="70">
        <f t="shared" si="5"/>
        <v>3.3360454748932648E-4</v>
      </c>
      <c r="L92" t="str" cm="1">
        <f t="array" ref="L92">_xlfn.IFS(I92&gt;5%,"HIGH RISK",I92&lt;2%,"LOW RISK",OR(I92&gt;2%,I92&lt;5%),"MODERATE RISK")</f>
        <v>LOW RISK</v>
      </c>
      <c r="M92" t="str" cm="1">
        <f t="array" ref="M92">_xlfn.IFS(I92&gt;5%,"HIGH RISK",AND(I92&gt;=2%,I92&lt;=5%),"MODERATE RISK",I92&lt;2%,"LOW RISK")</f>
        <v>LOW RISK</v>
      </c>
      <c r="N92" cm="1">
        <f t="array" ref="N92">_xlfn.IFS(M92="LOW RISK",1,M92="MODERATE RISK",2,M92="HIGH RISK",3)</f>
        <v>1</v>
      </c>
    </row>
    <row r="93" spans="1:14" x14ac:dyDescent="0.3">
      <c r="A93" s="50" t="s">
        <v>141</v>
      </c>
      <c r="B93" s="51">
        <v>7413</v>
      </c>
      <c r="C93" s="51">
        <v>185</v>
      </c>
      <c r="D93" s="51">
        <v>4027</v>
      </c>
      <c r="E93" s="51">
        <v>3201</v>
      </c>
      <c r="F93" s="55">
        <v>1790152</v>
      </c>
      <c r="G93" s="50" t="s">
        <v>28</v>
      </c>
      <c r="H93" s="52">
        <v>43903</v>
      </c>
      <c r="I93" s="70">
        <f t="shared" si="3"/>
        <v>2.4956158100634021E-2</v>
      </c>
      <c r="J93" s="70">
        <f t="shared" si="4"/>
        <v>0.54323485768244972</v>
      </c>
      <c r="K93" s="70">
        <f t="shared" si="5"/>
        <v>4.1409891450558392E-3</v>
      </c>
      <c r="L93" t="str" cm="1">
        <f t="array" ref="L93">_xlfn.IFS(I93&gt;5%,"HIGH RISK",I93&lt;2%,"LOW RISK",OR(I93&gt;2%,I93&lt;5%),"MODERATE RISK")</f>
        <v>MODERATE RISK</v>
      </c>
      <c r="M93" t="str" cm="1">
        <f t="array" ref="M93">_xlfn.IFS(I93&gt;5%,"HIGH RISK",AND(I93&gt;=2%,I93&lt;=5%),"MODERATE RISK",I93&lt;2%,"LOW RISK")</f>
        <v>MODERATE RISK</v>
      </c>
      <c r="N93" cm="1">
        <f t="array" ref="N93">_xlfn.IFS(M93="LOW RISK",1,M93="MODERATE RISK",2,M93="HIGH RISK",3)</f>
        <v>2</v>
      </c>
    </row>
    <row r="94" spans="1:14" x14ac:dyDescent="0.3">
      <c r="A94" s="47" t="s">
        <v>142</v>
      </c>
      <c r="B94" s="48">
        <v>64379</v>
      </c>
      <c r="C94" s="48">
        <v>438</v>
      </c>
      <c r="D94" s="48">
        <v>55057</v>
      </c>
      <c r="E94" s="48">
        <v>8884</v>
      </c>
      <c r="F94" s="48">
        <v>4276658</v>
      </c>
      <c r="G94" s="47" t="s">
        <v>26</v>
      </c>
      <c r="H94" s="49">
        <v>43885</v>
      </c>
      <c r="I94" s="70">
        <f t="shared" si="3"/>
        <v>6.8034607558365304E-3</v>
      </c>
      <c r="J94" s="70">
        <f t="shared" si="4"/>
        <v>0.85520123021482164</v>
      </c>
      <c r="K94" s="70">
        <f t="shared" si="5"/>
        <v>1.5053576881761413E-2</v>
      </c>
      <c r="L94" t="str" cm="1">
        <f t="array" ref="L94">_xlfn.IFS(I94&gt;5%,"HIGH RISK",I94&lt;2%,"LOW RISK",OR(I94&gt;2%,I94&lt;5%),"MODERATE RISK")</f>
        <v>LOW RISK</v>
      </c>
      <c r="M94" t="str" cm="1">
        <f t="array" ref="M94">_xlfn.IFS(I94&gt;5%,"HIGH RISK",AND(I94&gt;=2%,I94&lt;=5%),"MODERATE RISK",I94&lt;2%,"LOW RISK")</f>
        <v>LOW RISK</v>
      </c>
      <c r="N94" cm="1">
        <f t="array" ref="N94">_xlfn.IFS(M94="LOW RISK",1,M94="MODERATE RISK",2,M94="HIGH RISK",3)</f>
        <v>1</v>
      </c>
    </row>
    <row r="95" spans="1:14" x14ac:dyDescent="0.3">
      <c r="A95" s="50" t="s">
        <v>143</v>
      </c>
      <c r="B95" s="51">
        <v>33296</v>
      </c>
      <c r="C95" s="51">
        <v>1301</v>
      </c>
      <c r="D95" s="51">
        <v>21205</v>
      </c>
      <c r="E95" s="51">
        <v>10790</v>
      </c>
      <c r="F95" s="51">
        <v>6534479</v>
      </c>
      <c r="G95" s="50" t="s">
        <v>26</v>
      </c>
      <c r="H95" s="52">
        <v>43908</v>
      </c>
      <c r="I95" s="70">
        <f t="shared" si="3"/>
        <v>3.9073762614127823E-2</v>
      </c>
      <c r="J95" s="70">
        <f t="shared" si="4"/>
        <v>0.63686328688130711</v>
      </c>
      <c r="K95" s="70">
        <f t="shared" si="5"/>
        <v>5.0954330100379842E-3</v>
      </c>
      <c r="L95" t="str" cm="1">
        <f t="array" ref="L95">_xlfn.IFS(I95&gt;5%,"HIGH RISK",I95&lt;2%,"LOW RISK",OR(I95&gt;2%,I95&lt;5%),"MODERATE RISK")</f>
        <v>MODERATE RISK</v>
      </c>
      <c r="M95" t="str" cm="1">
        <f t="array" ref="M95">_xlfn.IFS(I95&gt;5%,"HIGH RISK",AND(I95&gt;=2%,I95&lt;=5%),"MODERATE RISK",I95&lt;2%,"LOW RISK")</f>
        <v>MODERATE RISK</v>
      </c>
      <c r="N95" cm="1">
        <f t="array" ref="N95">_xlfn.IFS(M95="LOW RISK",1,M95="MODERATE RISK",2,M95="HIGH RISK",3)</f>
        <v>2</v>
      </c>
    </row>
    <row r="96" spans="1:14" x14ac:dyDescent="0.3">
      <c r="A96" s="47" t="s">
        <v>144</v>
      </c>
      <c r="B96" s="48">
        <v>20</v>
      </c>
      <c r="C96" s="48">
        <v>0</v>
      </c>
      <c r="D96" s="48">
        <v>19</v>
      </c>
      <c r="E96" s="48">
        <v>1</v>
      </c>
      <c r="F96" s="48">
        <v>7285750</v>
      </c>
      <c r="G96" s="47" t="s">
        <v>26</v>
      </c>
      <c r="H96" s="49">
        <v>43914</v>
      </c>
      <c r="I96" s="70">
        <f t="shared" si="3"/>
        <v>0</v>
      </c>
      <c r="J96" s="70">
        <f t="shared" si="4"/>
        <v>0.95</v>
      </c>
      <c r="K96" s="70">
        <f t="shared" si="5"/>
        <v>2.7450845829187114E-6</v>
      </c>
      <c r="L96" t="str" cm="1">
        <f t="array" ref="L96">_xlfn.IFS(I96&gt;5%,"HIGH RISK",I96&lt;2%,"LOW RISK",OR(I96&gt;2%,I96&lt;5%),"MODERATE RISK")</f>
        <v>LOW RISK</v>
      </c>
      <c r="M96" t="str" cm="1">
        <f t="array" ref="M96">_xlfn.IFS(I96&gt;5%,"HIGH RISK",AND(I96&gt;=2%,I96&lt;=5%),"MODERATE RISK",I96&lt;2%,"LOW RISK")</f>
        <v>LOW RISK</v>
      </c>
      <c r="N96" cm="1">
        <f t="array" ref="N96">_xlfn.IFS(M96="LOW RISK",1,M96="MODERATE RISK",2,M96="HIGH RISK",3)</f>
        <v>1</v>
      </c>
    </row>
    <row r="97" spans="1:14" x14ac:dyDescent="0.3">
      <c r="A97" s="50" t="s">
        <v>145</v>
      </c>
      <c r="B97" s="51">
        <v>1219</v>
      </c>
      <c r="C97" s="51">
        <v>31</v>
      </c>
      <c r="D97" s="51">
        <v>1045</v>
      </c>
      <c r="E97" s="51">
        <v>143</v>
      </c>
      <c r="F97" s="51">
        <v>1883936</v>
      </c>
      <c r="G97" s="50" t="s">
        <v>28</v>
      </c>
      <c r="H97" s="52">
        <v>43892</v>
      </c>
      <c r="I97" s="70">
        <f t="shared" si="3"/>
        <v>2.5430680885972109E-2</v>
      </c>
      <c r="J97" s="70">
        <f t="shared" si="4"/>
        <v>0.85726004922067267</v>
      </c>
      <c r="K97" s="70">
        <f t="shared" si="5"/>
        <v>6.4704958130212494E-4</v>
      </c>
      <c r="L97" t="str" cm="1">
        <f t="array" ref="L97">_xlfn.IFS(I97&gt;5%,"HIGH RISK",I97&lt;2%,"LOW RISK",OR(I97&gt;2%,I97&lt;5%),"MODERATE RISK")</f>
        <v>MODERATE RISK</v>
      </c>
      <c r="M97" t="str" cm="1">
        <f t="array" ref="M97">_xlfn.IFS(I97&gt;5%,"HIGH RISK",AND(I97&gt;=2%,I97&lt;=5%),"MODERATE RISK",I97&lt;2%,"LOW RISK")</f>
        <v>MODERATE RISK</v>
      </c>
      <c r="N97" cm="1">
        <f t="array" ref="N97">_xlfn.IFS(M97="LOW RISK",1,M97="MODERATE RISK",2,M97="HIGH RISK",3)</f>
        <v>2</v>
      </c>
    </row>
    <row r="98" spans="1:14" x14ac:dyDescent="0.3">
      <c r="A98" s="47" t="s">
        <v>146</v>
      </c>
      <c r="B98" s="48">
        <v>3882</v>
      </c>
      <c r="C98" s="48">
        <v>51</v>
      </c>
      <c r="D98" s="48">
        <v>1709</v>
      </c>
      <c r="E98" s="48">
        <v>2122</v>
      </c>
      <c r="F98" s="48">
        <v>6822220</v>
      </c>
      <c r="G98" s="47" t="s">
        <v>26</v>
      </c>
      <c r="H98" s="49">
        <v>43882</v>
      </c>
      <c r="I98" s="70">
        <f t="shared" si="3"/>
        <v>1.3137557959814529E-2</v>
      </c>
      <c r="J98" s="70">
        <f t="shared" si="4"/>
        <v>0.44023699124162802</v>
      </c>
      <c r="K98" s="70">
        <f t="shared" si="5"/>
        <v>5.6902298665243865E-4</v>
      </c>
      <c r="L98" t="str" cm="1">
        <f t="array" ref="L98">_xlfn.IFS(I98&gt;5%,"HIGH RISK",I98&lt;2%,"LOW RISK",OR(I98&gt;2%,I98&lt;5%),"MODERATE RISK")</f>
        <v>LOW RISK</v>
      </c>
      <c r="M98" t="str" cm="1">
        <f t="array" ref="M98">_xlfn.IFS(I98&gt;5%,"HIGH RISK",AND(I98&gt;=2%,I98&lt;=5%),"MODERATE RISK",I98&lt;2%,"LOW RISK")</f>
        <v>LOW RISK</v>
      </c>
      <c r="N98" cm="1">
        <f t="array" ref="N98">_xlfn.IFS(M98="LOW RISK",1,M98="MODERATE RISK",2,M98="HIGH RISK",3)</f>
        <v>1</v>
      </c>
    </row>
    <row r="99" spans="1:14" x14ac:dyDescent="0.3">
      <c r="A99" s="50" t="s">
        <v>147</v>
      </c>
      <c r="B99" s="51">
        <v>505</v>
      </c>
      <c r="C99" s="51">
        <v>12</v>
      </c>
      <c r="D99" s="51">
        <v>128</v>
      </c>
      <c r="E99" s="51">
        <v>365</v>
      </c>
      <c r="F99" s="51">
        <v>2143943</v>
      </c>
      <c r="G99" s="50" t="s">
        <v>25</v>
      </c>
      <c r="H99" s="52">
        <v>43964</v>
      </c>
      <c r="I99" s="70">
        <f t="shared" si="3"/>
        <v>2.3762376237623763E-2</v>
      </c>
      <c r="J99" s="70">
        <f t="shared" si="4"/>
        <v>0.25346534653465347</v>
      </c>
      <c r="K99" s="70">
        <f t="shared" si="5"/>
        <v>2.3554730699463559E-4</v>
      </c>
      <c r="L99" t="str" cm="1">
        <f t="array" ref="L99">_xlfn.IFS(I99&gt;5%,"HIGH RISK",I99&lt;2%,"LOW RISK",OR(I99&gt;2%,I99&lt;5%),"MODERATE RISK")</f>
        <v>MODERATE RISK</v>
      </c>
      <c r="M99" t="str" cm="1">
        <f t="array" ref="M99">_xlfn.IFS(I99&gt;5%,"HIGH RISK",AND(I99&gt;=2%,I99&lt;=5%),"MODERATE RISK",I99&lt;2%,"LOW RISK")</f>
        <v>MODERATE RISK</v>
      </c>
      <c r="N99" cm="1">
        <f t="array" ref="N99">_xlfn.IFS(M99="LOW RISK",1,M99="MODERATE RISK",2,M99="HIGH RISK",3)</f>
        <v>2</v>
      </c>
    </row>
    <row r="100" spans="1:14" x14ac:dyDescent="0.3">
      <c r="A100" s="47" t="s">
        <v>148</v>
      </c>
      <c r="B100" s="48">
        <v>1167</v>
      </c>
      <c r="C100" s="48">
        <v>72</v>
      </c>
      <c r="D100" s="48">
        <v>646</v>
      </c>
      <c r="E100" s="48">
        <v>449</v>
      </c>
      <c r="F100" s="48">
        <v>5068618</v>
      </c>
      <c r="G100" s="47" t="s">
        <v>25</v>
      </c>
      <c r="H100" s="49">
        <v>43906</v>
      </c>
      <c r="I100" s="70">
        <f t="shared" si="3"/>
        <v>6.1696658097686374E-2</v>
      </c>
      <c r="J100" s="70">
        <f t="shared" si="4"/>
        <v>0.55355612682090827</v>
      </c>
      <c r="K100" s="70">
        <f t="shared" si="5"/>
        <v>2.3024027456793942E-4</v>
      </c>
      <c r="L100" t="str" cm="1">
        <f t="array" ref="L100">_xlfn.IFS(I100&gt;5%,"HIGH RISK",I100&lt;2%,"LOW RISK",OR(I100&gt;2%,I100&lt;5%),"MODERATE RISK")</f>
        <v>HIGH RISK</v>
      </c>
      <c r="M100" t="str" cm="1">
        <f t="array" ref="M100">_xlfn.IFS(I100&gt;5%,"HIGH RISK",AND(I100&gt;=2%,I100&lt;=5%),"MODERATE RISK",I100&lt;2%,"LOW RISK")</f>
        <v>HIGH RISK</v>
      </c>
      <c r="N100" cm="1">
        <f t="array" ref="N100">_xlfn.IFS(M100="LOW RISK",1,M100="MODERATE RISK",2,M100="HIGH RISK",3)</f>
        <v>3</v>
      </c>
    </row>
    <row r="101" spans="1:14" x14ac:dyDescent="0.3">
      <c r="A101" s="50" t="s">
        <v>149</v>
      </c>
      <c r="B101" s="51">
        <v>2827</v>
      </c>
      <c r="C101" s="51">
        <v>64</v>
      </c>
      <c r="D101" s="51">
        <v>577</v>
      </c>
      <c r="E101" s="51">
        <v>2186</v>
      </c>
      <c r="F101" s="51">
        <v>6880353</v>
      </c>
      <c r="G101" s="50" t="s">
        <v>25</v>
      </c>
      <c r="H101" s="52">
        <v>43914</v>
      </c>
      <c r="I101" s="70">
        <f t="shared" si="3"/>
        <v>2.2638839759462327E-2</v>
      </c>
      <c r="J101" s="70">
        <f t="shared" si="4"/>
        <v>0.20410328970640254</v>
      </c>
      <c r="K101" s="70">
        <f t="shared" si="5"/>
        <v>4.1088008129815432E-4</v>
      </c>
      <c r="L101" t="str" cm="1">
        <f t="array" ref="L101">_xlfn.IFS(I101&gt;5%,"HIGH RISK",I101&lt;2%,"LOW RISK",OR(I101&gt;2%,I101&lt;5%),"MODERATE RISK")</f>
        <v>MODERATE RISK</v>
      </c>
      <c r="M101" t="str" cm="1">
        <f t="array" ref="M101">_xlfn.IFS(I101&gt;5%,"HIGH RISK",AND(I101&gt;=2%,I101&lt;=5%),"MODERATE RISK",I101&lt;2%,"LOW RISK")</f>
        <v>MODERATE RISK</v>
      </c>
      <c r="N101" cm="1">
        <f t="array" ref="N101">_xlfn.IFS(M101="LOW RISK",1,M101="MODERATE RISK",2,M101="HIGH RISK",3)</f>
        <v>2</v>
      </c>
    </row>
    <row r="102" spans="1:14" x14ac:dyDescent="0.3">
      <c r="A102" s="47" t="s">
        <v>150</v>
      </c>
      <c r="B102" s="48">
        <v>86</v>
      </c>
      <c r="C102" s="48">
        <v>1</v>
      </c>
      <c r="D102" s="48">
        <v>81</v>
      </c>
      <c r="E102" s="48">
        <v>4</v>
      </c>
      <c r="F102" s="48">
        <v>38139</v>
      </c>
      <c r="G102" s="47" t="s">
        <v>28</v>
      </c>
      <c r="H102" s="49">
        <v>43893</v>
      </c>
      <c r="I102" s="70">
        <f t="shared" si="3"/>
        <v>1.1627906976744186E-2</v>
      </c>
      <c r="J102" s="70">
        <f t="shared" si="4"/>
        <v>0.94186046511627908</v>
      </c>
      <c r="K102" s="70">
        <f t="shared" si="5"/>
        <v>2.2549096725136999E-3</v>
      </c>
      <c r="L102" t="str" cm="1">
        <f t="array" ref="L102">_xlfn.IFS(I102&gt;5%,"HIGH RISK",I102&lt;2%,"LOW RISK",OR(I102&gt;2%,I102&lt;5%),"MODERATE RISK")</f>
        <v>LOW RISK</v>
      </c>
      <c r="M102" t="str" cm="1">
        <f t="array" ref="M102">_xlfn.IFS(I102&gt;5%,"HIGH RISK",AND(I102&gt;=2%,I102&lt;=5%),"MODERATE RISK",I102&lt;2%,"LOW RISK")</f>
        <v>LOW RISK</v>
      </c>
      <c r="N102" cm="1">
        <f t="array" ref="N102">_xlfn.IFS(M102="LOW RISK",1,M102="MODERATE RISK",2,M102="HIGH RISK",3)</f>
        <v>1</v>
      </c>
    </row>
    <row r="103" spans="1:14" x14ac:dyDescent="0.3">
      <c r="A103" s="50" t="s">
        <v>151</v>
      </c>
      <c r="B103" s="51">
        <v>2019</v>
      </c>
      <c r="C103" s="51">
        <v>80</v>
      </c>
      <c r="D103" s="51">
        <v>1620</v>
      </c>
      <c r="E103" s="51">
        <v>319</v>
      </c>
      <c r="F103" s="51">
        <v>2718121</v>
      </c>
      <c r="G103" s="50" t="s">
        <v>28</v>
      </c>
      <c r="H103" s="52">
        <v>43889</v>
      </c>
      <c r="I103" s="70">
        <f t="shared" si="3"/>
        <v>3.9623576027736501E-2</v>
      </c>
      <c r="J103" s="70">
        <f t="shared" si="4"/>
        <v>0.80237741456166423</v>
      </c>
      <c r="K103" s="70">
        <f t="shared" si="5"/>
        <v>7.4279253940497862E-4</v>
      </c>
      <c r="L103" t="str" cm="1">
        <f t="array" ref="L103">_xlfn.IFS(I103&gt;5%,"HIGH RISK",I103&lt;2%,"LOW RISK",OR(I103&gt;2%,I103&lt;5%),"MODERATE RISK")</f>
        <v>MODERATE RISK</v>
      </c>
      <c r="M103" t="str" cm="1">
        <f t="array" ref="M103">_xlfn.IFS(I103&gt;5%,"HIGH RISK",AND(I103&gt;=2%,I103&lt;=5%),"MODERATE RISK",I103&lt;2%,"LOW RISK")</f>
        <v>MODERATE RISK</v>
      </c>
      <c r="N103" cm="1">
        <f t="array" ref="N103">_xlfn.IFS(M103="LOW RISK",1,M103="MODERATE RISK",2,M103="HIGH RISK",3)</f>
        <v>2</v>
      </c>
    </row>
    <row r="104" spans="1:14" x14ac:dyDescent="0.3">
      <c r="A104" s="47" t="s">
        <v>152</v>
      </c>
      <c r="B104" s="48">
        <v>6321</v>
      </c>
      <c r="C104" s="48">
        <v>112</v>
      </c>
      <c r="D104" s="48">
        <v>4825</v>
      </c>
      <c r="E104" s="48">
        <v>1384</v>
      </c>
      <c r="F104" s="48">
        <v>626952</v>
      </c>
      <c r="G104" s="47" t="s">
        <v>28</v>
      </c>
      <c r="H104" s="49">
        <v>43890</v>
      </c>
      <c r="I104" s="70">
        <f t="shared" si="3"/>
        <v>1.7718715393133997E-2</v>
      </c>
      <c r="J104" s="70">
        <f t="shared" si="4"/>
        <v>0.763328587248853</v>
      </c>
      <c r="K104" s="70">
        <f t="shared" si="5"/>
        <v>1.0082111549209509E-2</v>
      </c>
      <c r="L104" t="str" cm="1">
        <f t="array" ref="L104">_xlfn.IFS(I104&gt;5%,"HIGH RISK",I104&lt;2%,"LOW RISK",OR(I104&gt;2%,I104&lt;5%),"MODERATE RISK")</f>
        <v>LOW RISK</v>
      </c>
      <c r="M104" t="str" cm="1">
        <f t="array" ref="M104">_xlfn.IFS(I104&gt;5%,"HIGH RISK",AND(I104&gt;=2%,I104&lt;=5%),"MODERATE RISK",I104&lt;2%,"LOW RISK")</f>
        <v>LOW RISK</v>
      </c>
      <c r="N104" cm="1">
        <f t="array" ref="N104">_xlfn.IFS(M104="LOW RISK",1,M104="MODERATE RISK",2,M104="HIGH RISK",3)</f>
        <v>1</v>
      </c>
    </row>
    <row r="105" spans="1:14" x14ac:dyDescent="0.3">
      <c r="A105" s="50" t="s">
        <v>153</v>
      </c>
      <c r="B105" s="51">
        <v>9690</v>
      </c>
      <c r="C105" s="51">
        <v>91</v>
      </c>
      <c r="D105" s="51">
        <v>6260</v>
      </c>
      <c r="E105" s="51">
        <v>3339</v>
      </c>
      <c r="F105" s="51">
        <v>27755708</v>
      </c>
      <c r="G105" s="50" t="s">
        <v>25</v>
      </c>
      <c r="H105" s="52">
        <v>43910</v>
      </c>
      <c r="I105" s="70">
        <f t="shared" si="3"/>
        <v>9.3911248710010324E-3</v>
      </c>
      <c r="J105" s="70">
        <f t="shared" si="4"/>
        <v>0.6460268317853457</v>
      </c>
      <c r="K105" s="70">
        <f t="shared" si="5"/>
        <v>3.491173779461868E-4</v>
      </c>
      <c r="L105" t="str" cm="1">
        <f t="array" ref="L105">_xlfn.IFS(I105&gt;5%,"HIGH RISK",I105&lt;2%,"LOW RISK",OR(I105&gt;2%,I105&lt;5%),"MODERATE RISK")</f>
        <v>LOW RISK</v>
      </c>
      <c r="M105" t="str" cm="1">
        <f t="array" ref="M105">_xlfn.IFS(I105&gt;5%,"HIGH RISK",AND(I105&gt;=2%,I105&lt;=5%),"MODERATE RISK",I105&lt;2%,"LOW RISK")</f>
        <v>LOW RISK</v>
      </c>
      <c r="N105" cm="1">
        <f t="array" ref="N105">_xlfn.IFS(M105="LOW RISK",1,M105="MODERATE RISK",2,M105="HIGH RISK",3)</f>
        <v>1</v>
      </c>
    </row>
    <row r="106" spans="1:14" x14ac:dyDescent="0.3">
      <c r="A106" s="47" t="s">
        <v>154</v>
      </c>
      <c r="B106" s="48">
        <v>3664</v>
      </c>
      <c r="C106" s="48">
        <v>99</v>
      </c>
      <c r="D106" s="48">
        <v>1645</v>
      </c>
      <c r="E106" s="48">
        <v>1920</v>
      </c>
      <c r="F106" s="48">
        <v>19174839</v>
      </c>
      <c r="G106" s="47" t="s">
        <v>25</v>
      </c>
      <c r="H106" s="49">
        <v>43922</v>
      </c>
      <c r="I106" s="70">
        <f t="shared" si="3"/>
        <v>2.7019650655021835E-2</v>
      </c>
      <c r="J106" s="70">
        <f t="shared" si="4"/>
        <v>0.44896288209606988</v>
      </c>
      <c r="K106" s="70">
        <f t="shared" si="5"/>
        <v>1.910837426066524E-4</v>
      </c>
      <c r="L106" t="str" cm="1">
        <f t="array" ref="L106">_xlfn.IFS(I106&gt;5%,"HIGH RISK",I106&lt;2%,"LOW RISK",OR(I106&gt;2%,I106&lt;5%),"MODERATE RISK")</f>
        <v>MODERATE RISK</v>
      </c>
      <c r="M106" t="str" cm="1">
        <f t="array" ref="M106">_xlfn.IFS(I106&gt;5%,"HIGH RISK",AND(I106&gt;=2%,I106&lt;=5%),"MODERATE RISK",I106&lt;2%,"LOW RISK")</f>
        <v>MODERATE RISK</v>
      </c>
      <c r="N106" cm="1">
        <f t="array" ref="N106">_xlfn.IFS(M106="LOW RISK",1,M106="MODERATE RISK",2,M106="HIGH RISK",3)</f>
        <v>2</v>
      </c>
    </row>
    <row r="107" spans="1:14" x14ac:dyDescent="0.3">
      <c r="A107" s="50" t="s">
        <v>155</v>
      </c>
      <c r="B107" s="51">
        <v>8904</v>
      </c>
      <c r="C107" s="51">
        <v>124</v>
      </c>
      <c r="D107" s="51">
        <v>8601</v>
      </c>
      <c r="E107" s="51">
        <v>179</v>
      </c>
      <c r="F107" s="51">
        <v>32406372</v>
      </c>
      <c r="G107" s="50" t="s">
        <v>26</v>
      </c>
      <c r="H107" s="52">
        <v>43855</v>
      </c>
      <c r="I107" s="70">
        <f t="shared" si="3"/>
        <v>1.3926325247079964E-2</v>
      </c>
      <c r="J107" s="70">
        <f t="shared" si="4"/>
        <v>0.96597035040431267</v>
      </c>
      <c r="K107" s="70">
        <f t="shared" si="5"/>
        <v>2.7476077852837093E-4</v>
      </c>
      <c r="L107" t="str" cm="1">
        <f t="array" ref="L107">_xlfn.IFS(I107&gt;5%,"HIGH RISK",I107&lt;2%,"LOW RISK",OR(I107&gt;2%,I107&lt;5%),"MODERATE RISK")</f>
        <v>LOW RISK</v>
      </c>
      <c r="M107" t="str" cm="1">
        <f t="array" ref="M107">_xlfn.IFS(I107&gt;5%,"HIGH RISK",AND(I107&gt;=2%,I107&lt;=5%),"MODERATE RISK",I107&lt;2%,"LOW RISK")</f>
        <v>LOW RISK</v>
      </c>
      <c r="N107" cm="1">
        <f t="array" ref="N107">_xlfn.IFS(M107="LOW RISK",1,M107="MODERATE RISK",2,M107="HIGH RISK",3)</f>
        <v>1</v>
      </c>
    </row>
    <row r="108" spans="1:14" x14ac:dyDescent="0.3">
      <c r="A108" s="47" t="s">
        <v>156</v>
      </c>
      <c r="B108" s="48">
        <v>3369</v>
      </c>
      <c r="C108" s="48">
        <v>15</v>
      </c>
      <c r="D108" s="48">
        <v>2547</v>
      </c>
      <c r="E108" s="48">
        <v>807</v>
      </c>
      <c r="F108" s="48">
        <v>541448</v>
      </c>
      <c r="G108" s="47" t="s">
        <v>26</v>
      </c>
      <c r="H108" s="49">
        <v>43897</v>
      </c>
      <c r="I108" s="70">
        <f t="shared" si="3"/>
        <v>4.4523597506678537E-3</v>
      </c>
      <c r="J108" s="70">
        <f t="shared" si="4"/>
        <v>0.75601068566340157</v>
      </c>
      <c r="K108" s="70">
        <f t="shared" si="5"/>
        <v>6.2222041636500643E-3</v>
      </c>
      <c r="L108" t="str" cm="1">
        <f t="array" ref="L108">_xlfn.IFS(I108&gt;5%,"HIGH RISK",I108&lt;2%,"LOW RISK",OR(I108&gt;2%,I108&lt;5%),"MODERATE RISK")</f>
        <v>LOW RISK</v>
      </c>
      <c r="M108" t="str" cm="1">
        <f t="array" ref="M108">_xlfn.IFS(I108&gt;5%,"HIGH RISK",AND(I108&gt;=2%,I108&lt;=5%),"MODERATE RISK",I108&lt;2%,"LOW RISK")</f>
        <v>LOW RISK</v>
      </c>
      <c r="N108" cm="1">
        <f t="array" ref="N108">_xlfn.IFS(M108="LOW RISK",1,M108="MODERATE RISK",2,M108="HIGH RISK",3)</f>
        <v>1</v>
      </c>
    </row>
    <row r="109" spans="1:14" x14ac:dyDescent="0.3">
      <c r="A109" s="50" t="s">
        <v>157</v>
      </c>
      <c r="B109" s="51">
        <v>2513</v>
      </c>
      <c r="C109" s="51">
        <v>124</v>
      </c>
      <c r="D109" s="51">
        <v>1913</v>
      </c>
      <c r="E109" s="51">
        <v>476</v>
      </c>
      <c r="F109" s="51">
        <v>20302901</v>
      </c>
      <c r="G109" s="50" t="s">
        <v>25</v>
      </c>
      <c r="H109" s="52">
        <v>43915</v>
      </c>
      <c r="I109" s="70">
        <f t="shared" si="3"/>
        <v>4.9343414245921209E-2</v>
      </c>
      <c r="J109" s="70">
        <f t="shared" si="4"/>
        <v>0.76124154397134902</v>
      </c>
      <c r="K109" s="70">
        <f t="shared" si="5"/>
        <v>1.2377541514880066E-4</v>
      </c>
      <c r="L109" t="str" cm="1">
        <f t="array" ref="L109">_xlfn.IFS(I109&gt;5%,"HIGH RISK",I109&lt;2%,"LOW RISK",OR(I109&gt;2%,I109&lt;5%),"MODERATE RISK")</f>
        <v>MODERATE RISK</v>
      </c>
      <c r="M109" t="str" cm="1">
        <f t="array" ref="M109">_xlfn.IFS(I109&gt;5%,"HIGH RISK",AND(I109&gt;=2%,I109&lt;=5%),"MODERATE RISK",I109&lt;2%,"LOW RISK")</f>
        <v>MODERATE RISK</v>
      </c>
      <c r="N109" cm="1">
        <f t="array" ref="N109">_xlfn.IFS(M109="LOW RISK",1,M109="MODERATE RISK",2,M109="HIGH RISK",3)</f>
        <v>2</v>
      </c>
    </row>
    <row r="110" spans="1:14" x14ac:dyDescent="0.3">
      <c r="A110" s="47" t="s">
        <v>158</v>
      </c>
      <c r="B110" s="48">
        <v>701</v>
      </c>
      <c r="C110" s="48">
        <v>9</v>
      </c>
      <c r="D110" s="48">
        <v>665</v>
      </c>
      <c r="E110" s="48">
        <v>27</v>
      </c>
      <c r="F110" s="48">
        <v>441663</v>
      </c>
      <c r="G110" s="47" t="s">
        <v>28</v>
      </c>
      <c r="H110" s="49">
        <v>43897</v>
      </c>
      <c r="I110" s="70">
        <f t="shared" si="3"/>
        <v>1.2838801711840228E-2</v>
      </c>
      <c r="J110" s="70">
        <f t="shared" si="4"/>
        <v>0.94864479315263905</v>
      </c>
      <c r="K110" s="70">
        <f t="shared" si="5"/>
        <v>1.5871829879342395E-3</v>
      </c>
      <c r="L110" t="str" cm="1">
        <f t="array" ref="L110">_xlfn.IFS(I110&gt;5%,"HIGH RISK",I110&lt;2%,"LOW RISK",OR(I110&gt;2%,I110&lt;5%),"MODERATE RISK")</f>
        <v>LOW RISK</v>
      </c>
      <c r="M110" t="str" cm="1">
        <f t="array" ref="M110">_xlfn.IFS(I110&gt;5%,"HIGH RISK",AND(I110&gt;=2%,I110&lt;=5%),"MODERATE RISK",I110&lt;2%,"LOW RISK")</f>
        <v>LOW RISK</v>
      </c>
      <c r="N110" cm="1">
        <f t="array" ref="N110">_xlfn.IFS(M110="LOW RISK",1,M110="MODERATE RISK",2,M110="HIGH RISK",3)</f>
        <v>1</v>
      </c>
    </row>
    <row r="111" spans="1:14" x14ac:dyDescent="0.3">
      <c r="A111" s="50" t="s">
        <v>159</v>
      </c>
      <c r="B111" s="51">
        <v>6208</v>
      </c>
      <c r="C111" s="51">
        <v>156</v>
      </c>
      <c r="D111" s="51">
        <v>4653</v>
      </c>
      <c r="E111" s="51">
        <v>1399</v>
      </c>
      <c r="F111" s="51">
        <v>4660728</v>
      </c>
      <c r="G111" s="50" t="s">
        <v>25</v>
      </c>
      <c r="H111" s="52">
        <v>43903</v>
      </c>
      <c r="I111" s="70">
        <f t="shared" si="3"/>
        <v>2.5128865979381444E-2</v>
      </c>
      <c r="J111" s="70">
        <f t="shared" si="4"/>
        <v>0.74951675257731953</v>
      </c>
      <c r="K111" s="70">
        <f t="shared" si="5"/>
        <v>1.3319807549378553E-3</v>
      </c>
      <c r="L111" t="str" cm="1">
        <f t="array" ref="L111">_xlfn.IFS(I111&gt;5%,"HIGH RISK",I111&lt;2%,"LOW RISK",OR(I111&gt;2%,I111&lt;5%),"MODERATE RISK")</f>
        <v>MODERATE RISK</v>
      </c>
      <c r="M111" t="str" cm="1">
        <f t="array" ref="M111">_xlfn.IFS(I111&gt;5%,"HIGH RISK",AND(I111&gt;=2%,I111&lt;=5%),"MODERATE RISK",I111&lt;2%,"LOW RISK")</f>
        <v>MODERATE RISK</v>
      </c>
      <c r="N111" cm="1">
        <f t="array" ref="N111">_xlfn.IFS(M111="LOW RISK",1,M111="MODERATE RISK",2,M111="HIGH RISK",3)</f>
        <v>2</v>
      </c>
    </row>
    <row r="112" spans="1:14" x14ac:dyDescent="0.3">
      <c r="A112" s="47" t="s">
        <v>160</v>
      </c>
      <c r="B112" s="48">
        <v>344</v>
      </c>
      <c r="C112" s="48">
        <v>10</v>
      </c>
      <c r="D112" s="48">
        <v>332</v>
      </c>
      <c r="E112" s="48">
        <v>2</v>
      </c>
      <c r="F112" s="48">
        <v>1271985</v>
      </c>
      <c r="G112" s="47" t="s">
        <v>25</v>
      </c>
      <c r="H112" s="49">
        <v>43908</v>
      </c>
      <c r="I112" s="70">
        <f t="shared" si="3"/>
        <v>2.9069767441860465E-2</v>
      </c>
      <c r="J112" s="70">
        <f t="shared" si="4"/>
        <v>0.96511627906976749</v>
      </c>
      <c r="K112" s="70">
        <f t="shared" si="5"/>
        <v>2.7044344076384549E-4</v>
      </c>
      <c r="L112" t="str" cm="1">
        <f t="array" ref="L112">_xlfn.IFS(I112&gt;5%,"HIGH RISK",I112&lt;2%,"LOW RISK",OR(I112&gt;2%,I112&lt;5%),"MODERATE RISK")</f>
        <v>MODERATE RISK</v>
      </c>
      <c r="M112" t="str" cm="1">
        <f t="array" ref="M112">_xlfn.IFS(I112&gt;5%,"HIGH RISK",AND(I112&gt;=2%,I112&lt;=5%),"MODERATE RISK",I112&lt;2%,"LOW RISK")</f>
        <v>MODERATE RISK</v>
      </c>
      <c r="N112" cm="1">
        <f t="array" ref="N112">_xlfn.IFS(M112="LOW RISK",1,M112="MODERATE RISK",2,M112="HIGH RISK",3)</f>
        <v>2</v>
      </c>
    </row>
    <row r="113" spans="1:14" x14ac:dyDescent="0.3">
      <c r="A113" s="50" t="s">
        <v>7</v>
      </c>
      <c r="B113" s="51">
        <v>395489</v>
      </c>
      <c r="C113" s="51">
        <v>44022</v>
      </c>
      <c r="D113" s="51">
        <v>303810</v>
      </c>
      <c r="E113" s="51">
        <v>47657</v>
      </c>
      <c r="F113" s="51">
        <v>129066160</v>
      </c>
      <c r="G113" s="50" t="s">
        <v>29</v>
      </c>
      <c r="H113" s="52">
        <v>43889</v>
      </c>
      <c r="I113" s="70">
        <f t="shared" si="3"/>
        <v>0.11131030193001576</v>
      </c>
      <c r="J113" s="70">
        <f t="shared" si="4"/>
        <v>0.7681882429094109</v>
      </c>
      <c r="K113" s="70">
        <f t="shared" si="5"/>
        <v>3.0642346529872739E-3</v>
      </c>
      <c r="L113" t="str" cm="1">
        <f t="array" ref="L113">_xlfn.IFS(I113&gt;5%,"HIGH RISK",I113&lt;2%,"LOW RISK",OR(I113&gt;2%,I113&lt;5%),"MODERATE RISK")</f>
        <v>HIGH RISK</v>
      </c>
      <c r="M113" t="str" cm="1">
        <f t="array" ref="M113">_xlfn.IFS(I113&gt;5%,"HIGH RISK",AND(I113&gt;=2%,I113&lt;=5%),"MODERATE RISK",I113&lt;2%,"LOW RISK")</f>
        <v>HIGH RISK</v>
      </c>
      <c r="N113" cm="1">
        <f t="array" ref="N113">_xlfn.IFS(M113="LOW RISK",1,M113="MODERATE RISK",2,M113="HIGH RISK",3)</f>
        <v>3</v>
      </c>
    </row>
    <row r="114" spans="1:14" x14ac:dyDescent="0.3">
      <c r="A114" s="47" t="s">
        <v>161</v>
      </c>
      <c r="B114" s="48">
        <v>23154</v>
      </c>
      <c r="C114" s="48">
        <v>748</v>
      </c>
      <c r="D114" s="48">
        <v>16154</v>
      </c>
      <c r="E114" s="48">
        <v>6252</v>
      </c>
      <c r="F114" s="48">
        <v>4032983</v>
      </c>
      <c r="G114" s="47" t="s">
        <v>28</v>
      </c>
      <c r="H114" s="49">
        <v>43897</v>
      </c>
      <c r="I114" s="70">
        <f t="shared" si="3"/>
        <v>3.2305433186490456E-2</v>
      </c>
      <c r="J114" s="70">
        <f t="shared" si="4"/>
        <v>0.69767642739915348</v>
      </c>
      <c r="K114" s="70">
        <f t="shared" si="5"/>
        <v>5.7411598313208854E-3</v>
      </c>
      <c r="L114" t="str" cm="1">
        <f t="array" ref="L114">_xlfn.IFS(I114&gt;5%,"HIGH RISK",I114&lt;2%,"LOW RISK",OR(I114&gt;2%,I114&lt;5%),"MODERATE RISK")</f>
        <v>MODERATE RISK</v>
      </c>
      <c r="M114" t="str" cm="1">
        <f t="array" ref="M114">_xlfn.IFS(I114&gt;5%,"HIGH RISK",AND(I114&gt;=2%,I114&lt;=5%),"MODERATE RISK",I114&lt;2%,"LOW RISK")</f>
        <v>MODERATE RISK</v>
      </c>
      <c r="N114" cm="1">
        <f t="array" ref="N114">_xlfn.IFS(M114="LOW RISK",1,M114="MODERATE RISK",2,M114="HIGH RISK",3)</f>
        <v>2</v>
      </c>
    </row>
    <row r="115" spans="1:14" x14ac:dyDescent="0.3">
      <c r="A115" s="50" t="s">
        <v>162</v>
      </c>
      <c r="B115" s="51">
        <v>116</v>
      </c>
      <c r="C115" s="51">
        <v>4</v>
      </c>
      <c r="D115" s="51">
        <v>104</v>
      </c>
      <c r="E115" s="51">
        <v>8</v>
      </c>
      <c r="F115" s="51">
        <v>39270</v>
      </c>
      <c r="G115" s="50" t="s">
        <v>28</v>
      </c>
      <c r="H115" s="52">
        <v>43890</v>
      </c>
      <c r="I115" s="70">
        <f t="shared" si="3"/>
        <v>3.4482758620689655E-2</v>
      </c>
      <c r="J115" s="70">
        <f t="shared" si="4"/>
        <v>0.89655172413793105</v>
      </c>
      <c r="K115" s="70">
        <f t="shared" si="5"/>
        <v>2.9539088362617776E-3</v>
      </c>
      <c r="L115" t="str" cm="1">
        <f t="array" ref="L115">_xlfn.IFS(I115&gt;5%,"HIGH RISK",I115&lt;2%,"LOW RISK",OR(I115&gt;2%,I115&lt;5%),"MODERATE RISK")</f>
        <v>MODERATE RISK</v>
      </c>
      <c r="M115" t="str" cm="1">
        <f t="array" ref="M115">_xlfn.IFS(I115&gt;5%,"HIGH RISK",AND(I115&gt;=2%,I115&lt;=5%),"MODERATE RISK",I115&lt;2%,"LOW RISK")</f>
        <v>MODERATE RISK</v>
      </c>
      <c r="N115" cm="1">
        <f t="array" ref="N115">_xlfn.IFS(M115="LOW RISK",1,M115="MODERATE RISK",2,M115="HIGH RISK",3)</f>
        <v>2</v>
      </c>
    </row>
    <row r="116" spans="1:14" x14ac:dyDescent="0.3">
      <c r="A116" s="47" t="s">
        <v>163</v>
      </c>
      <c r="B116" s="48">
        <v>289</v>
      </c>
      <c r="C116" s="48">
        <v>0</v>
      </c>
      <c r="D116" s="48">
        <v>222</v>
      </c>
      <c r="E116" s="48">
        <v>67</v>
      </c>
      <c r="F116" s="48">
        <v>3283344</v>
      </c>
      <c r="G116" s="47" t="s">
        <v>26</v>
      </c>
      <c r="H116" s="49">
        <v>43900</v>
      </c>
      <c r="I116" s="70">
        <f t="shared" si="3"/>
        <v>0</v>
      </c>
      <c r="J116" s="70">
        <f t="shared" si="4"/>
        <v>0.76816608996539792</v>
      </c>
      <c r="K116" s="70">
        <f t="shared" si="5"/>
        <v>8.8020018615167948E-5</v>
      </c>
      <c r="L116" t="str" cm="1">
        <f t="array" ref="L116">_xlfn.IFS(I116&gt;5%,"HIGH RISK",I116&lt;2%,"LOW RISK",OR(I116&gt;2%,I116&lt;5%),"MODERATE RISK")</f>
        <v>LOW RISK</v>
      </c>
      <c r="M116" t="str" cm="1">
        <f t="array" ref="M116">_xlfn.IFS(I116&gt;5%,"HIGH RISK",AND(I116&gt;=2%,I116&lt;=5%),"MODERATE RISK",I116&lt;2%,"LOW RISK")</f>
        <v>LOW RISK</v>
      </c>
      <c r="N116" cm="1">
        <f t="array" ref="N116">_xlfn.IFS(M116="LOW RISK",1,M116="MODERATE RISK",2,M116="HIGH RISK",3)</f>
        <v>1</v>
      </c>
    </row>
    <row r="117" spans="1:14" x14ac:dyDescent="0.3">
      <c r="A117" s="50" t="s">
        <v>164</v>
      </c>
      <c r="B117" s="51">
        <v>2893</v>
      </c>
      <c r="C117" s="51">
        <v>45</v>
      </c>
      <c r="D117" s="51">
        <v>809</v>
      </c>
      <c r="E117" s="51">
        <v>2039</v>
      </c>
      <c r="F117" s="51">
        <v>628074</v>
      </c>
      <c r="G117" s="50" t="s">
        <v>28</v>
      </c>
      <c r="H117" s="52">
        <v>43907</v>
      </c>
      <c r="I117" s="70">
        <f t="shared" si="3"/>
        <v>1.5554787417905289E-2</v>
      </c>
      <c r="J117" s="70">
        <f t="shared" si="4"/>
        <v>0.27964051157967507</v>
      </c>
      <c r="K117" s="70">
        <f t="shared" si="5"/>
        <v>4.6061451357642573E-3</v>
      </c>
      <c r="L117" t="str" cm="1">
        <f t="array" ref="L117">_xlfn.IFS(I117&gt;5%,"HIGH RISK",I117&lt;2%,"LOW RISK",OR(I117&gt;2%,I117&lt;5%),"MODERATE RISK")</f>
        <v>LOW RISK</v>
      </c>
      <c r="M117" t="str" cm="1">
        <f t="array" ref="M117">_xlfn.IFS(I117&gt;5%,"HIGH RISK",AND(I117&gt;=2%,I117&lt;=5%),"MODERATE RISK",I117&lt;2%,"LOW RISK")</f>
        <v>LOW RISK</v>
      </c>
      <c r="N117" cm="1">
        <f t="array" ref="N117">_xlfn.IFS(M117="LOW RISK",1,M117="MODERATE RISK",2,M117="HIGH RISK",3)</f>
        <v>1</v>
      </c>
    </row>
    <row r="118" spans="1:14" x14ac:dyDescent="0.3">
      <c r="A118" s="47" t="s">
        <v>165</v>
      </c>
      <c r="B118" s="48">
        <v>20887</v>
      </c>
      <c r="C118" s="48">
        <v>316</v>
      </c>
      <c r="D118" s="48">
        <v>16553</v>
      </c>
      <c r="E118" s="48">
        <v>4018</v>
      </c>
      <c r="F118" s="48">
        <v>36953359</v>
      </c>
      <c r="G118" s="47" t="s">
        <v>25</v>
      </c>
      <c r="H118" s="49">
        <v>43892</v>
      </c>
      <c r="I118" s="70">
        <f t="shared" si="3"/>
        <v>1.5129027624838417E-2</v>
      </c>
      <c r="J118" s="70">
        <f t="shared" si="4"/>
        <v>0.79250251352515921</v>
      </c>
      <c r="K118" s="70">
        <f t="shared" si="5"/>
        <v>5.6522601910153822E-4</v>
      </c>
      <c r="L118" t="str" cm="1">
        <f t="array" ref="L118">_xlfn.IFS(I118&gt;5%,"HIGH RISK",I118&lt;2%,"LOW RISK",OR(I118&gt;2%,I118&lt;5%),"MODERATE RISK")</f>
        <v>LOW RISK</v>
      </c>
      <c r="M118" t="str" cm="1">
        <f t="array" ref="M118">_xlfn.IFS(I118&gt;5%,"HIGH RISK",AND(I118&gt;=2%,I118&lt;=5%),"MODERATE RISK",I118&lt;2%,"LOW RISK")</f>
        <v>LOW RISK</v>
      </c>
      <c r="N118" cm="1">
        <f t="array" ref="N118">_xlfn.IFS(M118="LOW RISK",1,M118="MODERATE RISK",2,M118="HIGH RISK",3)</f>
        <v>1</v>
      </c>
    </row>
    <row r="119" spans="1:14" x14ac:dyDescent="0.3">
      <c r="A119" s="50" t="s">
        <v>166</v>
      </c>
      <c r="B119" s="51">
        <v>1701</v>
      </c>
      <c r="C119" s="51">
        <v>11</v>
      </c>
      <c r="D119" s="51">
        <v>0</v>
      </c>
      <c r="E119" s="51">
        <v>1690</v>
      </c>
      <c r="F119" s="51">
        <v>31333962</v>
      </c>
      <c r="G119" s="50" t="s">
        <v>25</v>
      </c>
      <c r="H119" s="52">
        <v>43912</v>
      </c>
      <c r="I119" s="70">
        <f t="shared" si="3"/>
        <v>6.4667842445620223E-3</v>
      </c>
      <c r="J119" s="70">
        <f t="shared" si="4"/>
        <v>0</v>
      </c>
      <c r="K119" s="70">
        <f t="shared" si="5"/>
        <v>5.4286144854583022E-5</v>
      </c>
      <c r="L119" t="str" cm="1">
        <f t="array" ref="L119">_xlfn.IFS(I119&gt;5%,"HIGH RISK",I119&lt;2%,"LOW RISK",OR(I119&gt;2%,I119&lt;5%),"MODERATE RISK")</f>
        <v>LOW RISK</v>
      </c>
      <c r="M119" t="str" cm="1">
        <f t="array" ref="M119">_xlfn.IFS(I119&gt;5%,"HIGH RISK",AND(I119&gt;=2%,I119&lt;=5%),"MODERATE RISK",I119&lt;2%,"LOW RISK")</f>
        <v>LOW RISK</v>
      </c>
      <c r="N119" cm="1">
        <f t="array" ref="N119">_xlfn.IFS(M119="LOW RISK",1,M119="MODERATE RISK",2,M119="HIGH RISK",3)</f>
        <v>1</v>
      </c>
    </row>
    <row r="120" spans="1:14" x14ac:dyDescent="0.3">
      <c r="A120" s="47" t="s">
        <v>167</v>
      </c>
      <c r="B120" s="48">
        <v>1843</v>
      </c>
      <c r="C120" s="48">
        <v>8</v>
      </c>
      <c r="D120" s="48">
        <v>101</v>
      </c>
      <c r="E120" s="48">
        <v>1734</v>
      </c>
      <c r="F120" s="48">
        <v>2545264</v>
      </c>
      <c r="G120" s="47" t="s">
        <v>25</v>
      </c>
      <c r="H120" s="49">
        <v>43904</v>
      </c>
      <c r="I120" s="70">
        <f t="shared" si="3"/>
        <v>4.3407487791644059E-3</v>
      </c>
      <c r="J120" s="70">
        <f t="shared" si="4"/>
        <v>5.4801953336950621E-2</v>
      </c>
      <c r="K120" s="70">
        <f t="shared" si="5"/>
        <v>7.2408991758811663E-4</v>
      </c>
      <c r="L120" t="str" cm="1">
        <f t="array" ref="L120">_xlfn.IFS(I120&gt;5%,"HIGH RISK",I120&lt;2%,"LOW RISK",OR(I120&gt;2%,I120&lt;5%),"MODERATE RISK")</f>
        <v>LOW RISK</v>
      </c>
      <c r="M120" t="str" cm="1">
        <f t="array" ref="M120">_xlfn.IFS(I120&gt;5%,"HIGH RISK",AND(I120&gt;=2%,I120&lt;=5%),"MODERATE RISK",I120&lt;2%,"LOW RISK")</f>
        <v>LOW RISK</v>
      </c>
      <c r="N120" cm="1">
        <f t="array" ref="N120">_xlfn.IFS(M120="LOW RISK",1,M120="MODERATE RISK",2,M120="HIGH RISK",3)</f>
        <v>1</v>
      </c>
    </row>
    <row r="121" spans="1:14" x14ac:dyDescent="0.3">
      <c r="A121" s="50" t="s">
        <v>168</v>
      </c>
      <c r="B121" s="51">
        <v>18752</v>
      </c>
      <c r="C121" s="51">
        <v>48</v>
      </c>
      <c r="D121" s="51">
        <v>13754</v>
      </c>
      <c r="E121" s="51">
        <v>4950</v>
      </c>
      <c r="F121" s="51">
        <v>29186486</v>
      </c>
      <c r="G121" s="50" t="s">
        <v>26</v>
      </c>
      <c r="H121" s="52">
        <v>43843</v>
      </c>
      <c r="I121" s="70">
        <f t="shared" si="3"/>
        <v>2.5597269624573378E-3</v>
      </c>
      <c r="J121" s="70">
        <f t="shared" si="4"/>
        <v>0.73346843003412965</v>
      </c>
      <c r="K121" s="70">
        <f t="shared" si="5"/>
        <v>6.4248913007204774E-4</v>
      </c>
      <c r="L121" t="str" cm="1">
        <f t="array" ref="L121">_xlfn.IFS(I121&gt;5%,"HIGH RISK",I121&lt;2%,"LOW RISK",OR(I121&gt;2%,I121&lt;5%),"MODERATE RISK")</f>
        <v>LOW RISK</v>
      </c>
      <c r="M121" t="str" cm="1">
        <f t="array" ref="M121">_xlfn.IFS(I121&gt;5%,"HIGH RISK",AND(I121&gt;=2%,I121&lt;=5%),"MODERATE RISK",I121&lt;2%,"LOW RISK")</f>
        <v>LOW RISK</v>
      </c>
      <c r="N121" cm="1">
        <f t="array" ref="N121">_xlfn.IFS(M121="LOW RISK",1,M121="MODERATE RISK",2,M121="HIGH RISK",3)</f>
        <v>1</v>
      </c>
    </row>
    <row r="122" spans="1:14" x14ac:dyDescent="0.3">
      <c r="A122" s="47" t="s">
        <v>169</v>
      </c>
      <c r="B122" s="48">
        <v>53413</v>
      </c>
      <c r="C122" s="48">
        <v>6160</v>
      </c>
      <c r="D122" s="48">
        <v>189</v>
      </c>
      <c r="E122" s="48">
        <v>47064</v>
      </c>
      <c r="F122" s="48">
        <v>17138756</v>
      </c>
      <c r="G122" s="47" t="s">
        <v>28</v>
      </c>
      <c r="H122" s="49">
        <v>43888</v>
      </c>
      <c r="I122" s="70">
        <f t="shared" si="3"/>
        <v>0.11532772920450078</v>
      </c>
      <c r="J122" s="70">
        <f t="shared" si="4"/>
        <v>3.5384644187744555E-3</v>
      </c>
      <c r="K122" s="70">
        <f t="shared" si="5"/>
        <v>3.1165039049508613E-3</v>
      </c>
      <c r="L122" t="str" cm="1">
        <f t="array" ref="L122">_xlfn.IFS(I122&gt;5%,"HIGH RISK",I122&lt;2%,"LOW RISK",OR(I122&gt;2%,I122&lt;5%),"MODERATE RISK")</f>
        <v>HIGH RISK</v>
      </c>
      <c r="M122" t="str" cm="1">
        <f t="array" ref="M122">_xlfn.IFS(I122&gt;5%,"HIGH RISK",AND(I122&gt;=2%,I122&lt;=5%),"MODERATE RISK",I122&lt;2%,"LOW RISK")</f>
        <v>HIGH RISK</v>
      </c>
      <c r="N122" cm="1">
        <f t="array" ref="N122">_xlfn.IFS(M122="LOW RISK",1,M122="MODERATE RISK",2,M122="HIGH RISK",3)</f>
        <v>3</v>
      </c>
    </row>
    <row r="123" spans="1:14" x14ac:dyDescent="0.3">
      <c r="A123" s="50" t="s">
        <v>170</v>
      </c>
      <c r="B123" s="51">
        <v>1557</v>
      </c>
      <c r="C123" s="51">
        <v>22</v>
      </c>
      <c r="D123" s="51">
        <v>1514</v>
      </c>
      <c r="E123" s="51">
        <v>21</v>
      </c>
      <c r="F123" s="51">
        <v>5002100</v>
      </c>
      <c r="G123" s="50" t="s">
        <v>27</v>
      </c>
      <c r="H123" s="52">
        <v>43889</v>
      </c>
      <c r="I123" s="70">
        <f t="shared" si="3"/>
        <v>1.4129736673089274E-2</v>
      </c>
      <c r="J123" s="70">
        <f t="shared" si="4"/>
        <v>0.97238278741168915</v>
      </c>
      <c r="K123" s="70">
        <f t="shared" si="5"/>
        <v>3.112692669078987E-4</v>
      </c>
      <c r="L123" t="str" cm="1">
        <f t="array" ref="L123">_xlfn.IFS(I123&gt;5%,"HIGH RISK",I123&lt;2%,"LOW RISK",OR(I123&gt;2%,I123&lt;5%),"MODERATE RISK")</f>
        <v>LOW RISK</v>
      </c>
      <c r="M123" t="str" cm="1">
        <f t="array" ref="M123">_xlfn.IFS(I123&gt;5%,"HIGH RISK",AND(I123&gt;=2%,I123&lt;=5%),"MODERATE RISK",I123&lt;2%,"LOW RISK")</f>
        <v>LOW RISK</v>
      </c>
      <c r="N123" cm="1">
        <f t="array" ref="N123">_xlfn.IFS(M123="LOW RISK",1,M123="MODERATE RISK",2,M123="HIGH RISK",3)</f>
        <v>1</v>
      </c>
    </row>
    <row r="124" spans="1:14" x14ac:dyDescent="0.3">
      <c r="A124" s="47" t="s">
        <v>171</v>
      </c>
      <c r="B124" s="48">
        <v>3439</v>
      </c>
      <c r="C124" s="48">
        <v>108</v>
      </c>
      <c r="D124" s="48">
        <v>2492</v>
      </c>
      <c r="E124" s="48">
        <v>839</v>
      </c>
      <c r="F124" s="48">
        <v>6632263</v>
      </c>
      <c r="G124" s="47" t="s">
        <v>29</v>
      </c>
      <c r="H124" s="49">
        <v>43908</v>
      </c>
      <c r="I124" s="70">
        <f t="shared" si="3"/>
        <v>3.1404478045943589E-2</v>
      </c>
      <c r="J124" s="70">
        <f t="shared" si="4"/>
        <v>0.72462925268973544</v>
      </c>
      <c r="K124" s="70">
        <f t="shared" si="5"/>
        <v>5.1852587872344626E-4</v>
      </c>
      <c r="L124" t="str" cm="1">
        <f t="array" ref="L124">_xlfn.IFS(I124&gt;5%,"HIGH RISK",I124&lt;2%,"LOW RISK",OR(I124&gt;2%,I124&lt;5%),"MODERATE RISK")</f>
        <v>MODERATE RISK</v>
      </c>
      <c r="M124" t="str" cm="1">
        <f t="array" ref="M124">_xlfn.IFS(I124&gt;5%,"HIGH RISK",AND(I124&gt;=2%,I124&lt;=5%),"MODERATE RISK",I124&lt;2%,"LOW RISK")</f>
        <v>MODERATE RISK</v>
      </c>
      <c r="N124" cm="1">
        <f t="array" ref="N124">_xlfn.IFS(M124="LOW RISK",1,M124="MODERATE RISK",2,M124="HIGH RISK",3)</f>
        <v>2</v>
      </c>
    </row>
    <row r="125" spans="1:14" x14ac:dyDescent="0.3">
      <c r="A125" s="50" t="s">
        <v>172</v>
      </c>
      <c r="B125" s="51">
        <v>1132</v>
      </c>
      <c r="C125" s="51">
        <v>69</v>
      </c>
      <c r="D125" s="51">
        <v>1027</v>
      </c>
      <c r="E125" s="51">
        <v>36</v>
      </c>
      <c r="F125" s="51">
        <v>24281433</v>
      </c>
      <c r="G125" s="50" t="s">
        <v>25</v>
      </c>
      <c r="H125" s="52">
        <v>43909</v>
      </c>
      <c r="I125" s="70">
        <f t="shared" si="3"/>
        <v>6.0954063604240286E-2</v>
      </c>
      <c r="J125" s="70">
        <f t="shared" si="4"/>
        <v>0.90724381625441697</v>
      </c>
      <c r="K125" s="70">
        <f t="shared" si="5"/>
        <v>4.6619983260460779E-5</v>
      </c>
      <c r="L125" t="str" cm="1">
        <f t="array" ref="L125">_xlfn.IFS(I125&gt;5%,"HIGH RISK",I125&lt;2%,"LOW RISK",OR(I125&gt;2%,I125&lt;5%),"MODERATE RISK")</f>
        <v>HIGH RISK</v>
      </c>
      <c r="M125" t="str" cm="1">
        <f t="array" ref="M125">_xlfn.IFS(I125&gt;5%,"HIGH RISK",AND(I125&gt;=2%,I125&lt;=5%),"MODERATE RISK",I125&lt;2%,"LOW RISK")</f>
        <v>HIGH RISK</v>
      </c>
      <c r="N125" cm="1">
        <f t="array" ref="N125">_xlfn.IFS(M125="LOW RISK",1,M125="MODERATE RISK",2,M125="HIGH RISK",3)</f>
        <v>3</v>
      </c>
    </row>
    <row r="126" spans="1:14" x14ac:dyDescent="0.3">
      <c r="A126" s="47" t="s">
        <v>173</v>
      </c>
      <c r="B126" s="48">
        <v>41180</v>
      </c>
      <c r="C126" s="48">
        <v>860</v>
      </c>
      <c r="D126" s="48">
        <v>18203</v>
      </c>
      <c r="E126" s="48">
        <v>22117</v>
      </c>
      <c r="F126" s="48">
        <v>206606300</v>
      </c>
      <c r="G126" s="47" t="s">
        <v>25</v>
      </c>
      <c r="H126" s="49">
        <v>43888</v>
      </c>
      <c r="I126" s="70">
        <f t="shared" si="3"/>
        <v>2.0883924235065566E-2</v>
      </c>
      <c r="J126" s="70">
        <f t="shared" si="4"/>
        <v>0.44203496843127732</v>
      </c>
      <c r="K126" s="70">
        <f t="shared" si="5"/>
        <v>1.9931628415977636E-4</v>
      </c>
      <c r="L126" t="str" cm="1">
        <f t="array" ref="L126">_xlfn.IFS(I126&gt;5%,"HIGH RISK",I126&lt;2%,"LOW RISK",OR(I126&gt;2%,I126&lt;5%),"MODERATE RISK")</f>
        <v>MODERATE RISK</v>
      </c>
      <c r="M126" t="str" cm="1">
        <f t="array" ref="M126">_xlfn.IFS(I126&gt;5%,"HIGH RISK",AND(I126&gt;=2%,I126&lt;=5%),"MODERATE RISK",I126&lt;2%,"LOW RISK")</f>
        <v>MODERATE RISK</v>
      </c>
      <c r="N126" cm="1">
        <f t="array" ref="N126">_xlfn.IFS(M126="LOW RISK",1,M126="MODERATE RISK",2,M126="HIGH RISK",3)</f>
        <v>2</v>
      </c>
    </row>
    <row r="127" spans="1:14" x14ac:dyDescent="0.3">
      <c r="A127" s="50" t="s">
        <v>174</v>
      </c>
      <c r="B127" s="51">
        <v>10213</v>
      </c>
      <c r="C127" s="51">
        <v>466</v>
      </c>
      <c r="D127" s="51">
        <v>5564</v>
      </c>
      <c r="E127" s="51">
        <v>4183</v>
      </c>
      <c r="F127" s="51">
        <v>2083365</v>
      </c>
      <c r="G127" s="50" t="s">
        <v>28</v>
      </c>
      <c r="H127" s="52">
        <v>43887</v>
      </c>
      <c r="I127" s="70">
        <f t="shared" si="3"/>
        <v>4.5628121022226575E-2</v>
      </c>
      <c r="J127" s="70">
        <f t="shared" si="4"/>
        <v>0.54479584842847351</v>
      </c>
      <c r="K127" s="70">
        <f t="shared" si="5"/>
        <v>4.9021654870845966E-3</v>
      </c>
      <c r="L127" t="str" cm="1">
        <f t="array" ref="L127">_xlfn.IFS(I127&gt;5%,"HIGH RISK",I127&lt;2%,"LOW RISK",OR(I127&gt;2%,I127&lt;5%),"MODERATE RISK")</f>
        <v>MODERATE RISK</v>
      </c>
      <c r="M127" t="str" cm="1">
        <f t="array" ref="M127">_xlfn.IFS(I127&gt;5%,"HIGH RISK",AND(I127&gt;=2%,I127&lt;=5%),"MODERATE RISK",I127&lt;2%,"LOW RISK")</f>
        <v>MODERATE RISK</v>
      </c>
      <c r="N127" cm="1">
        <f t="array" ref="N127">_xlfn.IFS(M127="LOW RISK",1,M127="MODERATE RISK",2,M127="HIGH RISK",3)</f>
        <v>2</v>
      </c>
    </row>
    <row r="128" spans="1:14" x14ac:dyDescent="0.3">
      <c r="A128" s="47" t="s">
        <v>175</v>
      </c>
      <c r="B128" s="48">
        <v>9132</v>
      </c>
      <c r="C128" s="48">
        <v>255</v>
      </c>
      <c r="D128" s="48">
        <v>8752</v>
      </c>
      <c r="E128" s="48">
        <v>125</v>
      </c>
      <c r="F128" s="48">
        <v>5425471</v>
      </c>
      <c r="G128" s="47" t="s">
        <v>28</v>
      </c>
      <c r="H128" s="49">
        <v>43887</v>
      </c>
      <c r="I128" s="70">
        <f t="shared" si="3"/>
        <v>2.7923784494086726E-2</v>
      </c>
      <c r="J128" s="70">
        <f t="shared" si="4"/>
        <v>0.95838808585194923</v>
      </c>
      <c r="K128" s="70">
        <f t="shared" si="5"/>
        <v>1.6831718389057834E-3</v>
      </c>
      <c r="L128" t="str" cm="1">
        <f t="array" ref="L128">_xlfn.IFS(I128&gt;5%,"HIGH RISK",I128&lt;2%,"LOW RISK",OR(I128&gt;2%,I128&lt;5%),"MODERATE RISK")</f>
        <v>MODERATE RISK</v>
      </c>
      <c r="M128" t="str" cm="1">
        <f t="array" ref="M128">_xlfn.IFS(I128&gt;5%,"HIGH RISK",AND(I128&gt;=2%,I128&lt;=5%),"MODERATE RISK",I128&lt;2%,"LOW RISK")</f>
        <v>MODERATE RISK</v>
      </c>
      <c r="N128" cm="1">
        <f t="array" ref="N128">_xlfn.IFS(M128="LOW RISK",1,M128="MODERATE RISK",2,M128="HIGH RISK",3)</f>
        <v>2</v>
      </c>
    </row>
    <row r="129" spans="1:14" x14ac:dyDescent="0.3">
      <c r="A129" s="50" t="s">
        <v>176</v>
      </c>
      <c r="B129" s="51">
        <v>77058</v>
      </c>
      <c r="C129" s="51">
        <v>393</v>
      </c>
      <c r="D129" s="51">
        <v>57028</v>
      </c>
      <c r="E129" s="51">
        <v>19637</v>
      </c>
      <c r="F129" s="51">
        <v>5118446</v>
      </c>
      <c r="G129" s="50" t="s">
        <v>26</v>
      </c>
      <c r="H129" s="52">
        <v>43885</v>
      </c>
      <c r="I129" s="70">
        <f t="shared" si="3"/>
        <v>5.1000545043992833E-3</v>
      </c>
      <c r="J129" s="70">
        <f t="shared" si="4"/>
        <v>0.74006592436865737</v>
      </c>
      <c r="K129" s="70">
        <f t="shared" si="5"/>
        <v>1.5054960040606075E-2</v>
      </c>
      <c r="L129" t="str" cm="1">
        <f t="array" ref="L129">_xlfn.IFS(I129&gt;5%,"HIGH RISK",I129&lt;2%,"LOW RISK",OR(I129&gt;2%,I129&lt;5%),"MODERATE RISK")</f>
        <v>LOW RISK</v>
      </c>
      <c r="M129" t="str" cm="1">
        <f t="array" ref="M129">_xlfn.IFS(I129&gt;5%,"HIGH RISK",AND(I129&gt;=2%,I129&lt;=5%),"MODERATE RISK",I129&lt;2%,"LOW RISK")</f>
        <v>LOW RISK</v>
      </c>
      <c r="N129" cm="1">
        <f t="array" ref="N129">_xlfn.IFS(M129="LOW RISK",1,M129="MODERATE RISK",2,M129="HIGH RISK",3)</f>
        <v>1</v>
      </c>
    </row>
    <row r="130" spans="1:14" x14ac:dyDescent="0.3">
      <c r="A130" s="47" t="s">
        <v>177</v>
      </c>
      <c r="B130" s="48">
        <v>274289</v>
      </c>
      <c r="C130" s="48">
        <v>5842</v>
      </c>
      <c r="D130" s="48">
        <v>241026</v>
      </c>
      <c r="E130" s="48">
        <v>27421</v>
      </c>
      <c r="F130" s="48">
        <v>221295851</v>
      </c>
      <c r="G130" s="47" t="s">
        <v>26</v>
      </c>
      <c r="H130" s="49">
        <v>43887</v>
      </c>
      <c r="I130" s="70">
        <f t="shared" si="3"/>
        <v>2.1298703192618004E-2</v>
      </c>
      <c r="J130" s="70">
        <f t="shared" si="4"/>
        <v>0.8787300985456945</v>
      </c>
      <c r="K130" s="70">
        <f t="shared" si="5"/>
        <v>1.2394674313166406E-3</v>
      </c>
      <c r="L130" t="str" cm="1">
        <f t="array" ref="L130">_xlfn.IFS(I130&gt;5%,"HIGH RISK",I130&lt;2%,"LOW RISK",OR(I130&gt;2%,I130&lt;5%),"MODERATE RISK")</f>
        <v>MODERATE RISK</v>
      </c>
      <c r="M130" t="str" cm="1">
        <f t="array" ref="M130">_xlfn.IFS(I130&gt;5%,"HIGH RISK",AND(I130&gt;=2%,I130&lt;=5%),"MODERATE RISK",I130&lt;2%,"LOW RISK")</f>
        <v>MODERATE RISK</v>
      </c>
      <c r="N130" cm="1">
        <f t="array" ref="N130">_xlfn.IFS(M130="LOW RISK",1,M130="MODERATE RISK",2,M130="HIGH RISK",3)</f>
        <v>2</v>
      </c>
    </row>
    <row r="131" spans="1:14" x14ac:dyDescent="0.3">
      <c r="A131" s="50" t="s">
        <v>178</v>
      </c>
      <c r="B131" s="51">
        <v>61442</v>
      </c>
      <c r="C131" s="51">
        <v>1322</v>
      </c>
      <c r="D131" s="51">
        <v>35086</v>
      </c>
      <c r="E131" s="51">
        <v>25034</v>
      </c>
      <c r="F131" s="51">
        <v>5112340</v>
      </c>
      <c r="G131" s="50" t="s">
        <v>26</v>
      </c>
      <c r="H131" s="52">
        <v>43899</v>
      </c>
      <c r="I131" s="70">
        <f t="shared" ref="I131:I188" si="6">C131/B131</f>
        <v>2.1516226685329255E-2</v>
      </c>
      <c r="J131" s="70">
        <f t="shared" ref="J131:J188" si="7">D131/B131</f>
        <v>0.57104260929006212</v>
      </c>
      <c r="K131" s="70">
        <f t="shared" ref="K131:K188" si="8">B131/F131</f>
        <v>1.2018371235089998E-2</v>
      </c>
      <c r="L131" t="str" cm="1">
        <f t="array" ref="L131">_xlfn.IFS(I131&gt;5%,"HIGH RISK",I131&lt;2%,"LOW RISK",OR(I131&gt;2%,I131&lt;5%),"MODERATE RISK")</f>
        <v>MODERATE RISK</v>
      </c>
      <c r="M131" t="str" cm="1">
        <f t="array" ref="M131">_xlfn.IFS(I131&gt;5%,"HIGH RISK",AND(I131&gt;=2%,I131&lt;=5%),"MODERATE RISK",I131&lt;2%,"LOW RISK")</f>
        <v>MODERATE RISK</v>
      </c>
      <c r="N131" cm="1">
        <f t="array" ref="N131">_xlfn.IFS(M131="LOW RISK",1,M131="MODERATE RISK",2,M131="HIGH RISK",3)</f>
        <v>2</v>
      </c>
    </row>
    <row r="132" spans="1:14" x14ac:dyDescent="0.3">
      <c r="A132" s="47" t="s">
        <v>179</v>
      </c>
      <c r="B132" s="48">
        <v>62</v>
      </c>
      <c r="C132" s="48">
        <v>0</v>
      </c>
      <c r="D132" s="48">
        <v>11</v>
      </c>
      <c r="E132" s="48">
        <v>51</v>
      </c>
      <c r="F132" s="48">
        <v>8963009</v>
      </c>
      <c r="G132" s="47" t="s">
        <v>27</v>
      </c>
      <c r="H132" s="49">
        <v>43910</v>
      </c>
      <c r="I132" s="70">
        <f t="shared" si="6"/>
        <v>0</v>
      </c>
      <c r="J132" s="70">
        <f t="shared" si="7"/>
        <v>0.17741935483870969</v>
      </c>
      <c r="K132" s="70">
        <f t="shared" si="8"/>
        <v>6.9173198420307291E-6</v>
      </c>
      <c r="L132" t="str" cm="1">
        <f t="array" ref="L132">_xlfn.IFS(I132&gt;5%,"HIGH RISK",I132&lt;2%,"LOW RISK",OR(I132&gt;2%,I132&lt;5%),"MODERATE RISK")</f>
        <v>LOW RISK</v>
      </c>
      <c r="M132" t="str" cm="1">
        <f t="array" ref="M132">_xlfn.IFS(I132&gt;5%,"HIGH RISK",AND(I132&gt;=2%,I132&lt;=5%),"MODERATE RISK",I132&lt;2%,"LOW RISK")</f>
        <v>LOW RISK</v>
      </c>
      <c r="N132" cm="1">
        <f t="array" ref="N132">_xlfn.IFS(M132="LOW RISK",1,M132="MODERATE RISK",2,M132="HIGH RISK",3)</f>
        <v>1</v>
      </c>
    </row>
    <row r="133" spans="1:14" x14ac:dyDescent="0.3">
      <c r="A133" s="50" t="s">
        <v>180</v>
      </c>
      <c r="B133" s="51">
        <v>4548</v>
      </c>
      <c r="C133" s="51">
        <v>43</v>
      </c>
      <c r="D133" s="51">
        <v>2905</v>
      </c>
      <c r="E133" s="51">
        <v>1600</v>
      </c>
      <c r="F133" s="51">
        <v>7141091</v>
      </c>
      <c r="G133" s="50" t="s">
        <v>30</v>
      </c>
      <c r="H133" s="52">
        <v>43897</v>
      </c>
      <c r="I133" s="70">
        <f t="shared" si="6"/>
        <v>9.4547053649956022E-3</v>
      </c>
      <c r="J133" s="70">
        <f t="shared" si="7"/>
        <v>0.63874230430958667</v>
      </c>
      <c r="K133" s="70">
        <f t="shared" si="8"/>
        <v>6.368774743243014E-4</v>
      </c>
      <c r="L133" t="str" cm="1">
        <f t="array" ref="L133">_xlfn.IFS(I133&gt;5%,"HIGH RISK",I133&lt;2%,"LOW RISK",OR(I133&gt;2%,I133&lt;5%),"MODERATE RISK")</f>
        <v>LOW RISK</v>
      </c>
      <c r="M133" t="str" cm="1">
        <f t="array" ref="M133">_xlfn.IFS(I133&gt;5%,"HIGH RISK",AND(I133&gt;=2%,I133&lt;=5%),"MODERATE RISK",I133&lt;2%,"LOW RISK")</f>
        <v>LOW RISK</v>
      </c>
      <c r="N133" cm="1">
        <f t="array" ref="N133">_xlfn.IFS(M133="LOW RISK",1,M133="MODERATE RISK",2,M133="HIGH RISK",3)</f>
        <v>1</v>
      </c>
    </row>
    <row r="134" spans="1:14" x14ac:dyDescent="0.3">
      <c r="A134" s="47" t="s">
        <v>8</v>
      </c>
      <c r="B134" s="48">
        <v>389717</v>
      </c>
      <c r="C134" s="48">
        <v>18418</v>
      </c>
      <c r="D134" s="48">
        <v>272547</v>
      </c>
      <c r="E134" s="48">
        <v>98752</v>
      </c>
      <c r="F134" s="48">
        <v>33016319</v>
      </c>
      <c r="G134" s="47" t="s">
        <v>30</v>
      </c>
      <c r="H134" s="49">
        <v>43896</v>
      </c>
      <c r="I134" s="70">
        <f t="shared" si="6"/>
        <v>4.7259934773181564E-2</v>
      </c>
      <c r="J134" s="70">
        <f t="shared" si="7"/>
        <v>0.69934593564047753</v>
      </c>
      <c r="K134" s="70">
        <f t="shared" si="8"/>
        <v>1.180376891803111E-2</v>
      </c>
      <c r="L134" t="str" cm="1">
        <f t="array" ref="L134">_xlfn.IFS(I134&gt;5%,"HIGH RISK",I134&lt;2%,"LOW RISK",OR(I134&gt;2%,I134&lt;5%),"MODERATE RISK")</f>
        <v>MODERATE RISK</v>
      </c>
      <c r="M134" t="str" cm="1">
        <f t="array" ref="M134">_xlfn.IFS(I134&gt;5%,"HIGH RISK",AND(I134&gt;=2%,I134&lt;=5%),"MODERATE RISK",I134&lt;2%,"LOW RISK")</f>
        <v>MODERATE RISK</v>
      </c>
      <c r="N134" cm="1">
        <f t="array" ref="N134">_xlfn.IFS(M134="LOW RISK",1,M134="MODERATE RISK",2,M134="HIGH RISK",3)</f>
        <v>2</v>
      </c>
    </row>
    <row r="135" spans="1:14" x14ac:dyDescent="0.3">
      <c r="A135" s="50" t="s">
        <v>181</v>
      </c>
      <c r="B135" s="51">
        <v>82040</v>
      </c>
      <c r="C135" s="51">
        <v>1945</v>
      </c>
      <c r="D135" s="51">
        <v>26446</v>
      </c>
      <c r="E135" s="51">
        <v>53649</v>
      </c>
      <c r="F135" s="51">
        <v>109722719</v>
      </c>
      <c r="G135" s="50" t="s">
        <v>26</v>
      </c>
      <c r="H135" s="52">
        <v>43860</v>
      </c>
      <c r="I135" s="70">
        <f t="shared" si="6"/>
        <v>2.370794734275963E-2</v>
      </c>
      <c r="J135" s="70">
        <f t="shared" si="7"/>
        <v>0.32235494880546073</v>
      </c>
      <c r="K135" s="70">
        <f t="shared" si="8"/>
        <v>7.4770294381786148E-4</v>
      </c>
      <c r="L135" t="str" cm="1">
        <f t="array" ref="L135">_xlfn.IFS(I135&gt;5%,"HIGH RISK",I135&lt;2%,"LOW RISK",OR(I135&gt;2%,I135&lt;5%),"MODERATE RISK")</f>
        <v>MODERATE RISK</v>
      </c>
      <c r="M135" t="str" cm="1">
        <f t="array" ref="M135">_xlfn.IFS(I135&gt;5%,"HIGH RISK",AND(I135&gt;=2%,I135&lt;=5%),"MODERATE RISK",I135&lt;2%,"LOW RISK")</f>
        <v>MODERATE RISK</v>
      </c>
      <c r="N135" cm="1">
        <f t="array" ref="N135">_xlfn.IFS(M135="LOW RISK",1,M135="MODERATE RISK",2,M135="HIGH RISK",3)</f>
        <v>2</v>
      </c>
    </row>
    <row r="136" spans="1:14" x14ac:dyDescent="0.3">
      <c r="A136" s="47" t="s">
        <v>182</v>
      </c>
      <c r="B136" s="48">
        <v>43402</v>
      </c>
      <c r="C136" s="48">
        <v>1676</v>
      </c>
      <c r="D136" s="48">
        <v>32856</v>
      </c>
      <c r="E136" s="48">
        <v>8870</v>
      </c>
      <c r="F136" s="48">
        <v>37842302</v>
      </c>
      <c r="G136" s="47" t="s">
        <v>28</v>
      </c>
      <c r="H136" s="49">
        <v>43894</v>
      </c>
      <c r="I136" s="70">
        <f t="shared" si="6"/>
        <v>3.8615731993917331E-2</v>
      </c>
      <c r="J136" s="70">
        <f t="shared" si="7"/>
        <v>0.75701580572323857</v>
      </c>
      <c r="K136" s="70">
        <f t="shared" si="8"/>
        <v>1.1469175421727779E-3</v>
      </c>
      <c r="L136" t="str" cm="1">
        <f t="array" ref="L136">_xlfn.IFS(I136&gt;5%,"HIGH RISK",I136&lt;2%,"LOW RISK",OR(I136&gt;2%,I136&lt;5%),"MODERATE RISK")</f>
        <v>MODERATE RISK</v>
      </c>
      <c r="M136" t="str" cm="1">
        <f t="array" ref="M136">_xlfn.IFS(I136&gt;5%,"HIGH RISK",AND(I136&gt;=2%,I136&lt;=5%),"MODERATE RISK",I136&lt;2%,"LOW RISK")</f>
        <v>MODERATE RISK</v>
      </c>
      <c r="N136" cm="1">
        <f t="array" ref="N136">_xlfn.IFS(M136="LOW RISK",1,M136="MODERATE RISK",2,M136="HIGH RISK",3)</f>
        <v>2</v>
      </c>
    </row>
    <row r="137" spans="1:14" x14ac:dyDescent="0.3">
      <c r="A137" s="50" t="s">
        <v>183</v>
      </c>
      <c r="B137" s="51">
        <v>50299</v>
      </c>
      <c r="C137" s="51">
        <v>1719</v>
      </c>
      <c r="D137" s="51">
        <v>35375</v>
      </c>
      <c r="E137" s="51">
        <v>13205</v>
      </c>
      <c r="F137" s="51">
        <v>10193593</v>
      </c>
      <c r="G137" s="50" t="s">
        <v>28</v>
      </c>
      <c r="H137" s="52">
        <v>43892</v>
      </c>
      <c r="I137" s="70">
        <f t="shared" si="6"/>
        <v>3.4175629734189548E-2</v>
      </c>
      <c r="J137" s="70">
        <f t="shared" si="7"/>
        <v>0.70329430008548877</v>
      </c>
      <c r="K137" s="70">
        <f t="shared" si="8"/>
        <v>4.9343739739265632E-3</v>
      </c>
      <c r="L137" t="str" cm="1">
        <f t="array" ref="L137">_xlfn.IFS(I137&gt;5%,"HIGH RISK",I137&lt;2%,"LOW RISK",OR(I137&gt;2%,I137&lt;5%),"MODERATE RISK")</f>
        <v>MODERATE RISK</v>
      </c>
      <c r="M137" t="str" cm="1">
        <f t="array" ref="M137">_xlfn.IFS(I137&gt;5%,"HIGH RISK",AND(I137&gt;=2%,I137&lt;=5%),"MODERATE RISK",I137&lt;2%,"LOW RISK")</f>
        <v>MODERATE RISK</v>
      </c>
      <c r="N137" cm="1">
        <f t="array" ref="N137">_xlfn.IFS(M137="LOW RISK",1,M137="MODERATE RISK",2,M137="HIGH RISK",3)</f>
        <v>2</v>
      </c>
    </row>
    <row r="138" spans="1:14" x14ac:dyDescent="0.3">
      <c r="A138" s="47" t="s">
        <v>184</v>
      </c>
      <c r="B138" s="48">
        <v>109597</v>
      </c>
      <c r="C138" s="48">
        <v>165</v>
      </c>
      <c r="D138" s="48">
        <v>106328</v>
      </c>
      <c r="E138" s="48">
        <v>3104</v>
      </c>
      <c r="F138" s="48">
        <v>2807805</v>
      </c>
      <c r="G138" s="47" t="s">
        <v>26</v>
      </c>
      <c r="H138" s="49">
        <v>43888</v>
      </c>
      <c r="I138" s="70">
        <f t="shared" si="6"/>
        <v>1.5055156619250528E-3</v>
      </c>
      <c r="J138" s="70">
        <f t="shared" si="7"/>
        <v>0.97017254121919394</v>
      </c>
      <c r="K138" s="70">
        <f t="shared" si="8"/>
        <v>3.9032981278970584E-2</v>
      </c>
      <c r="L138" t="str" cm="1">
        <f t="array" ref="L138">_xlfn.IFS(I138&gt;5%,"HIGH RISK",I138&lt;2%,"LOW RISK",OR(I138&gt;2%,I138&lt;5%),"MODERATE RISK")</f>
        <v>LOW RISK</v>
      </c>
      <c r="M138" t="str" cm="1">
        <f t="array" ref="M138">_xlfn.IFS(I138&gt;5%,"HIGH RISK",AND(I138&gt;=2%,I138&lt;=5%),"MODERATE RISK",I138&lt;2%,"LOW RISK")</f>
        <v>LOW RISK</v>
      </c>
      <c r="N138" cm="1">
        <f t="array" ref="N138">_xlfn.IFS(M138="LOW RISK",1,M138="MODERATE RISK",2,M138="HIGH RISK",3)</f>
        <v>1</v>
      </c>
    </row>
    <row r="139" spans="1:14" x14ac:dyDescent="0.3">
      <c r="A139" s="50" t="s">
        <v>185</v>
      </c>
      <c r="B139" s="51">
        <v>45902</v>
      </c>
      <c r="C139" s="51">
        <v>2206</v>
      </c>
      <c r="D139" s="51">
        <v>25794</v>
      </c>
      <c r="E139" s="51">
        <v>17902</v>
      </c>
      <c r="F139" s="51">
        <v>19224023</v>
      </c>
      <c r="G139" s="50" t="s">
        <v>28</v>
      </c>
      <c r="H139" s="52">
        <v>43887</v>
      </c>
      <c r="I139" s="70">
        <f t="shared" si="6"/>
        <v>4.805890810857915E-2</v>
      </c>
      <c r="J139" s="70">
        <f t="shared" si="7"/>
        <v>0.56193629907193587</v>
      </c>
      <c r="K139" s="70">
        <f t="shared" si="8"/>
        <v>2.3877416293145303E-3</v>
      </c>
      <c r="L139" t="str" cm="1">
        <f t="array" ref="L139">_xlfn.IFS(I139&gt;5%,"HIGH RISK",I139&lt;2%,"LOW RISK",OR(I139&gt;2%,I139&lt;5%),"MODERATE RISK")</f>
        <v>MODERATE RISK</v>
      </c>
      <c r="M139" t="str" cm="1">
        <f t="array" ref="M139">_xlfn.IFS(I139&gt;5%,"HIGH RISK",AND(I139&gt;=2%,I139&lt;=5%),"MODERATE RISK",I139&lt;2%,"LOW RISK")</f>
        <v>MODERATE RISK</v>
      </c>
      <c r="N139" cm="1">
        <f t="array" ref="N139">_xlfn.IFS(M139="LOW RISK",1,M139="MODERATE RISK",2,M139="HIGH RISK",3)</f>
        <v>2</v>
      </c>
    </row>
    <row r="140" spans="1:14" x14ac:dyDescent="0.3">
      <c r="A140" s="47" t="s">
        <v>9</v>
      </c>
      <c r="B140" s="48">
        <v>816680</v>
      </c>
      <c r="C140" s="48">
        <v>13334</v>
      </c>
      <c r="D140" s="48">
        <v>602249</v>
      </c>
      <c r="E140" s="48">
        <v>201097</v>
      </c>
      <c r="F140" s="48">
        <v>145940924</v>
      </c>
      <c r="G140" s="47" t="s">
        <v>28</v>
      </c>
      <c r="H140" s="49">
        <v>43861</v>
      </c>
      <c r="I140" s="70">
        <f t="shared" si="6"/>
        <v>1.6327080374197972E-2</v>
      </c>
      <c r="J140" s="70">
        <f t="shared" si="7"/>
        <v>0.73743571533525987</v>
      </c>
      <c r="K140" s="70">
        <f t="shared" si="8"/>
        <v>5.5959629253820543E-3</v>
      </c>
      <c r="L140" t="str" cm="1">
        <f t="array" ref="L140">_xlfn.IFS(I140&gt;5%,"HIGH RISK",I140&lt;2%,"LOW RISK",OR(I140&gt;2%,I140&lt;5%),"MODERATE RISK")</f>
        <v>LOW RISK</v>
      </c>
      <c r="M140" t="str" cm="1">
        <f t="array" ref="M140">_xlfn.IFS(I140&gt;5%,"HIGH RISK",AND(I140&gt;=2%,I140&lt;=5%),"MODERATE RISK",I140&lt;2%,"LOW RISK")</f>
        <v>LOW RISK</v>
      </c>
      <c r="N140" cm="1">
        <f t="array" ref="N140">_xlfn.IFS(M140="LOW RISK",1,M140="MODERATE RISK",2,M140="HIGH RISK",3)</f>
        <v>1</v>
      </c>
    </row>
    <row r="141" spans="1:14" x14ac:dyDescent="0.3">
      <c r="A141" s="50" t="s">
        <v>186</v>
      </c>
      <c r="B141" s="51">
        <v>1879</v>
      </c>
      <c r="C141" s="51">
        <v>5</v>
      </c>
      <c r="D141" s="51">
        <v>975</v>
      </c>
      <c r="E141" s="51">
        <v>899</v>
      </c>
      <c r="F141" s="51">
        <v>12981546</v>
      </c>
      <c r="G141" s="50" t="s">
        <v>25</v>
      </c>
      <c r="H141" s="52">
        <v>43904</v>
      </c>
      <c r="I141" s="70">
        <f t="shared" si="6"/>
        <v>2.6609898882384245E-3</v>
      </c>
      <c r="J141" s="70">
        <f t="shared" si="7"/>
        <v>0.51889302820649286</v>
      </c>
      <c r="K141" s="70">
        <f t="shared" si="8"/>
        <v>1.4474393111575461E-4</v>
      </c>
      <c r="L141" t="str" cm="1">
        <f t="array" ref="L141">_xlfn.IFS(I141&gt;5%,"HIGH RISK",I141&lt;2%,"LOW RISK",OR(I141&gt;2%,I141&lt;5%),"MODERATE RISK")</f>
        <v>LOW RISK</v>
      </c>
      <c r="M141" t="str" cm="1">
        <f t="array" ref="M141">_xlfn.IFS(I141&gt;5%,"HIGH RISK",AND(I141&gt;=2%,I141&lt;=5%),"MODERATE RISK",I141&lt;2%,"LOW RISK")</f>
        <v>LOW RISK</v>
      </c>
      <c r="N141" cm="1">
        <f t="array" ref="N141">_xlfn.IFS(M141="LOW RISK",1,M141="MODERATE RISK",2,M141="HIGH RISK",3)</f>
        <v>1</v>
      </c>
    </row>
    <row r="142" spans="1:14" x14ac:dyDescent="0.3">
      <c r="A142" s="47" t="s">
        <v>187</v>
      </c>
      <c r="B142" s="48">
        <v>17</v>
      </c>
      <c r="C142" s="48">
        <v>0</v>
      </c>
      <c r="D142" s="48">
        <v>15</v>
      </c>
      <c r="E142" s="48">
        <v>2</v>
      </c>
      <c r="F142" s="48">
        <v>53237</v>
      </c>
      <c r="G142" s="47" t="s">
        <v>29</v>
      </c>
      <c r="H142" s="49">
        <v>43914</v>
      </c>
      <c r="I142" s="70">
        <f t="shared" si="6"/>
        <v>0</v>
      </c>
      <c r="J142" s="70">
        <f t="shared" si="7"/>
        <v>0.88235294117647056</v>
      </c>
      <c r="K142" s="70">
        <f t="shared" si="8"/>
        <v>3.1932678400360654E-4</v>
      </c>
      <c r="L142" t="str" cm="1">
        <f t="array" ref="L142">_xlfn.IFS(I142&gt;5%,"HIGH RISK",I142&lt;2%,"LOW RISK",OR(I142&gt;2%,I142&lt;5%),"MODERATE RISK")</f>
        <v>LOW RISK</v>
      </c>
      <c r="M142" t="str" cm="1">
        <f t="array" ref="M142">_xlfn.IFS(I142&gt;5%,"HIGH RISK",AND(I142&gt;=2%,I142&lt;=5%),"MODERATE RISK",I142&lt;2%,"LOW RISK")</f>
        <v>LOW RISK</v>
      </c>
      <c r="N142" cm="1">
        <f t="array" ref="N142">_xlfn.IFS(M142="LOW RISK",1,M142="MODERATE RISK",2,M142="HIGH RISK",3)</f>
        <v>1</v>
      </c>
    </row>
    <row r="143" spans="1:14" x14ac:dyDescent="0.3">
      <c r="A143" s="50" t="s">
        <v>188</v>
      </c>
      <c r="B143" s="51">
        <v>24</v>
      </c>
      <c r="C143" s="51">
        <v>0</v>
      </c>
      <c r="D143" s="51">
        <v>22</v>
      </c>
      <c r="E143" s="51">
        <v>2</v>
      </c>
      <c r="F143" s="51">
        <v>183712</v>
      </c>
      <c r="G143" s="50" t="s">
        <v>29</v>
      </c>
      <c r="H143" s="52">
        <v>43903</v>
      </c>
      <c r="I143" s="70">
        <f t="shared" si="6"/>
        <v>0</v>
      </c>
      <c r="J143" s="70">
        <f t="shared" si="7"/>
        <v>0.91666666666666663</v>
      </c>
      <c r="K143" s="70">
        <f t="shared" si="8"/>
        <v>1.306392614527086E-4</v>
      </c>
      <c r="L143" t="str" cm="1">
        <f t="array" ref="L143">_xlfn.IFS(I143&gt;5%,"HIGH RISK",I143&lt;2%,"LOW RISK",OR(I143&gt;2%,I143&lt;5%),"MODERATE RISK")</f>
        <v>LOW RISK</v>
      </c>
      <c r="M143" t="str" cm="1">
        <f t="array" ref="M143">_xlfn.IFS(I143&gt;5%,"HIGH RISK",AND(I143&gt;=2%,I143&lt;=5%),"MODERATE RISK",I143&lt;2%,"LOW RISK")</f>
        <v>LOW RISK</v>
      </c>
      <c r="N143" cm="1">
        <f t="array" ref="N143">_xlfn.IFS(M143="LOW RISK",1,M143="MODERATE RISK",2,M143="HIGH RISK",3)</f>
        <v>1</v>
      </c>
    </row>
    <row r="144" spans="1:14" x14ac:dyDescent="0.3">
      <c r="A144" s="47" t="s">
        <v>189</v>
      </c>
      <c r="B144" s="48">
        <v>52</v>
      </c>
      <c r="C144" s="48">
        <v>0</v>
      </c>
      <c r="D144" s="48">
        <v>39</v>
      </c>
      <c r="E144" s="48">
        <v>13</v>
      </c>
      <c r="F144" s="53">
        <v>104000</v>
      </c>
      <c r="G144" s="47" t="s">
        <v>29</v>
      </c>
      <c r="H144" s="49">
        <v>43901</v>
      </c>
      <c r="I144" s="70">
        <f t="shared" si="6"/>
        <v>0</v>
      </c>
      <c r="J144" s="70">
        <f t="shared" si="7"/>
        <v>0.75</v>
      </c>
      <c r="K144" s="70">
        <f t="shared" si="8"/>
        <v>5.0000000000000001E-4</v>
      </c>
      <c r="L144" t="str" cm="1">
        <f t="array" ref="L144">_xlfn.IFS(I144&gt;5%,"HIGH RISK",I144&lt;2%,"LOW RISK",OR(I144&gt;2%,I144&lt;5%),"MODERATE RISK")</f>
        <v>LOW RISK</v>
      </c>
      <c r="M144" t="str" cm="1">
        <f t="array" ref="M144">_xlfn.IFS(I144&gt;5%,"HIGH RISK",AND(I144&gt;=2%,I144&lt;=5%),"MODERATE RISK",I144&lt;2%,"LOW RISK")</f>
        <v>LOW RISK</v>
      </c>
      <c r="N144" cm="1">
        <f t="array" ref="N144">_xlfn.IFS(M144="LOW RISK",1,M144="MODERATE RISK",2,M144="HIGH RISK",3)</f>
        <v>1</v>
      </c>
    </row>
    <row r="145" spans="1:14" x14ac:dyDescent="0.3">
      <c r="A145" s="50" t="s">
        <v>190</v>
      </c>
      <c r="B145" s="51">
        <v>699</v>
      </c>
      <c r="C145" s="51">
        <v>42</v>
      </c>
      <c r="D145" s="51">
        <v>657</v>
      </c>
      <c r="E145" s="51">
        <v>0</v>
      </c>
      <c r="F145" s="51">
        <v>33938</v>
      </c>
      <c r="G145" s="50" t="s">
        <v>28</v>
      </c>
      <c r="H145" s="52">
        <v>43888</v>
      </c>
      <c r="I145" s="70">
        <f t="shared" si="6"/>
        <v>6.0085836909871244E-2</v>
      </c>
      <c r="J145" s="70">
        <f t="shared" si="7"/>
        <v>0.93991416309012876</v>
      </c>
      <c r="K145" s="70">
        <f t="shared" si="8"/>
        <v>2.0596381637102954E-2</v>
      </c>
      <c r="L145" t="str" cm="1">
        <f t="array" ref="L145">_xlfn.IFS(I145&gt;5%,"HIGH RISK",I145&lt;2%,"LOW RISK",OR(I145&gt;2%,I145&lt;5%),"MODERATE RISK")</f>
        <v>HIGH RISK</v>
      </c>
      <c r="M145" t="str" cm="1">
        <f t="array" ref="M145">_xlfn.IFS(I145&gt;5%,"HIGH RISK",AND(I145&gt;=2%,I145&lt;=5%),"MODERATE RISK",I145&lt;2%,"LOW RISK")</f>
        <v>HIGH RISK</v>
      </c>
      <c r="N145" cm="1">
        <f t="array" ref="N145">_xlfn.IFS(M145="LOW RISK",1,M145="MODERATE RISK",2,M145="HIGH RISK",3)</f>
        <v>3</v>
      </c>
    </row>
    <row r="146" spans="1:14" x14ac:dyDescent="0.3">
      <c r="A146" s="47" t="s">
        <v>191</v>
      </c>
      <c r="B146" s="48">
        <v>865</v>
      </c>
      <c r="C146" s="48">
        <v>14</v>
      </c>
      <c r="D146" s="48">
        <v>734</v>
      </c>
      <c r="E146" s="48">
        <v>117</v>
      </c>
      <c r="F146" s="48">
        <v>219544</v>
      </c>
      <c r="G146" s="47" t="s">
        <v>25</v>
      </c>
      <c r="H146" s="49">
        <v>43927</v>
      </c>
      <c r="I146" s="70">
        <f t="shared" si="6"/>
        <v>1.6184971098265895E-2</v>
      </c>
      <c r="J146" s="70">
        <f t="shared" si="7"/>
        <v>0.84855491329479771</v>
      </c>
      <c r="K146" s="70">
        <f t="shared" si="8"/>
        <v>3.9399846955507781E-3</v>
      </c>
      <c r="L146" t="str" cm="1">
        <f t="array" ref="L146">_xlfn.IFS(I146&gt;5%,"HIGH RISK",I146&lt;2%,"LOW RISK",OR(I146&gt;2%,I146&lt;5%),"MODERATE RISK")</f>
        <v>LOW RISK</v>
      </c>
      <c r="M146" t="str" cm="1">
        <f t="array" ref="M146">_xlfn.IFS(I146&gt;5%,"HIGH RISK",AND(I146&gt;=2%,I146&lt;=5%),"MODERATE RISK",I146&lt;2%,"LOW RISK")</f>
        <v>LOW RISK</v>
      </c>
      <c r="N146" cm="1">
        <f t="array" ref="N146">_xlfn.IFS(M146="LOW RISK",1,M146="MODERATE RISK",2,M146="HIGH RISK",3)</f>
        <v>1</v>
      </c>
    </row>
    <row r="147" spans="1:14" x14ac:dyDescent="0.3">
      <c r="A147" s="50" t="s">
        <v>192</v>
      </c>
      <c r="B147" s="51">
        <v>268934</v>
      </c>
      <c r="C147" s="51">
        <v>2760</v>
      </c>
      <c r="D147" s="51">
        <v>222936</v>
      </c>
      <c r="E147" s="51">
        <v>43238</v>
      </c>
      <c r="F147" s="51">
        <v>34865919</v>
      </c>
      <c r="G147" s="50" t="s">
        <v>26</v>
      </c>
      <c r="H147" s="52">
        <v>43892</v>
      </c>
      <c r="I147" s="70">
        <f t="shared" si="6"/>
        <v>1.0262741044271086E-2</v>
      </c>
      <c r="J147" s="70">
        <f t="shared" si="7"/>
        <v>0.8289617526976879</v>
      </c>
      <c r="K147" s="70">
        <f t="shared" si="8"/>
        <v>7.7133776396371484E-3</v>
      </c>
      <c r="L147" t="str" cm="1">
        <f t="array" ref="L147">_xlfn.IFS(I147&gt;5%,"HIGH RISK",I147&lt;2%,"LOW RISK",OR(I147&gt;2%,I147&lt;5%),"MODERATE RISK")</f>
        <v>LOW RISK</v>
      </c>
      <c r="M147" t="str" cm="1">
        <f t="array" ref="M147">_xlfn.IFS(I147&gt;5%,"HIGH RISK",AND(I147&gt;=2%,I147&lt;=5%),"MODERATE RISK",I147&lt;2%,"LOW RISK")</f>
        <v>LOW RISK</v>
      </c>
      <c r="N147" cm="1">
        <f t="array" ref="N147">_xlfn.IFS(M147="LOW RISK",1,M147="MODERATE RISK",2,M147="HIGH RISK",3)</f>
        <v>1</v>
      </c>
    </row>
    <row r="148" spans="1:14" x14ac:dyDescent="0.3">
      <c r="A148" s="47" t="s">
        <v>193</v>
      </c>
      <c r="B148" s="48">
        <v>9764</v>
      </c>
      <c r="C148" s="48">
        <v>194</v>
      </c>
      <c r="D148" s="48">
        <v>6477</v>
      </c>
      <c r="E148" s="48">
        <v>3093</v>
      </c>
      <c r="F148" s="48">
        <v>16783877</v>
      </c>
      <c r="G148" s="47" t="s">
        <v>25</v>
      </c>
      <c r="H148" s="49">
        <v>43892</v>
      </c>
      <c r="I148" s="70">
        <f t="shared" si="6"/>
        <v>1.9868906185989348E-2</v>
      </c>
      <c r="J148" s="70">
        <f t="shared" si="7"/>
        <v>0.66335518230233514</v>
      </c>
      <c r="K148" s="70">
        <f t="shared" si="8"/>
        <v>5.8174878188156404E-4</v>
      </c>
      <c r="L148" t="str" cm="1">
        <f t="array" ref="L148">_xlfn.IFS(I148&gt;5%,"HIGH RISK",I148&lt;2%,"LOW RISK",OR(I148&gt;2%,I148&lt;5%),"MODERATE RISK")</f>
        <v>LOW RISK</v>
      </c>
      <c r="M148" t="str" cm="1">
        <f t="array" ref="M148">_xlfn.IFS(I148&gt;5%,"HIGH RISK",AND(I148&gt;=2%,I148&lt;=5%),"MODERATE RISK",I148&lt;2%,"LOW RISK")</f>
        <v>LOW RISK</v>
      </c>
      <c r="N148" cm="1">
        <f t="array" ref="N148">_xlfn.IFS(M148="LOW RISK",1,M148="MODERATE RISK",2,M148="HIGH RISK",3)</f>
        <v>1</v>
      </c>
    </row>
    <row r="149" spans="1:14" x14ac:dyDescent="0.3">
      <c r="A149" s="50" t="s">
        <v>194</v>
      </c>
      <c r="B149" s="51">
        <v>24141</v>
      </c>
      <c r="C149" s="51">
        <v>543</v>
      </c>
      <c r="D149" s="51">
        <v>0</v>
      </c>
      <c r="E149" s="51">
        <v>23598</v>
      </c>
      <c r="F149" s="51">
        <v>8733665</v>
      </c>
      <c r="G149" s="50" t="s">
        <v>28</v>
      </c>
      <c r="H149" s="52">
        <v>43896</v>
      </c>
      <c r="I149" s="70">
        <f t="shared" si="6"/>
        <v>2.2492854479930408E-2</v>
      </c>
      <c r="J149" s="70">
        <f t="shared" si="7"/>
        <v>0</v>
      </c>
      <c r="K149" s="70">
        <f t="shared" si="8"/>
        <v>2.7641316675187334E-3</v>
      </c>
      <c r="L149" t="str" cm="1">
        <f t="array" ref="L149">_xlfn.IFS(I149&gt;5%,"HIGH RISK",I149&lt;2%,"LOW RISK",OR(I149&gt;2%,I149&lt;5%),"MODERATE RISK")</f>
        <v>MODERATE RISK</v>
      </c>
      <c r="M149" t="str" cm="1">
        <f t="array" ref="M149">_xlfn.IFS(I149&gt;5%,"HIGH RISK",AND(I149&gt;=2%,I149&lt;=5%),"MODERATE RISK",I149&lt;2%,"LOW RISK")</f>
        <v>MODERATE RISK</v>
      </c>
      <c r="N149" cm="1">
        <f t="array" ref="N149">_xlfn.IFS(M149="LOW RISK",1,M149="MODERATE RISK",2,M149="HIGH RISK",3)</f>
        <v>2</v>
      </c>
    </row>
    <row r="150" spans="1:14" x14ac:dyDescent="0.3">
      <c r="A150" s="47" t="s">
        <v>195</v>
      </c>
      <c r="B150" s="48">
        <v>114</v>
      </c>
      <c r="C150" s="48">
        <v>0</v>
      </c>
      <c r="D150" s="48">
        <v>39</v>
      </c>
      <c r="E150" s="48">
        <v>75</v>
      </c>
      <c r="F150" s="48">
        <v>98408</v>
      </c>
      <c r="G150" s="47" t="s">
        <v>25</v>
      </c>
      <c r="H150" s="49">
        <v>43904</v>
      </c>
      <c r="I150" s="70">
        <f t="shared" si="6"/>
        <v>0</v>
      </c>
      <c r="J150" s="70">
        <f t="shared" si="7"/>
        <v>0.34210526315789475</v>
      </c>
      <c r="K150" s="70">
        <f t="shared" si="8"/>
        <v>1.158442403056662E-3</v>
      </c>
      <c r="L150" t="str" cm="1">
        <f t="array" ref="L150">_xlfn.IFS(I150&gt;5%,"HIGH RISK",I150&lt;2%,"LOW RISK",OR(I150&gt;2%,I150&lt;5%),"MODERATE RISK")</f>
        <v>LOW RISK</v>
      </c>
      <c r="M150" t="str" cm="1">
        <f t="array" ref="M150">_xlfn.IFS(I150&gt;5%,"HIGH RISK",AND(I150&gt;=2%,I150&lt;=5%),"MODERATE RISK",I150&lt;2%,"LOW RISK")</f>
        <v>LOW RISK</v>
      </c>
      <c r="N150" cm="1">
        <f t="array" ref="N150">_xlfn.IFS(M150="LOW RISK",1,M150="MODERATE RISK",2,M150="HIGH RISK",3)</f>
        <v>1</v>
      </c>
    </row>
    <row r="151" spans="1:14" x14ac:dyDescent="0.3">
      <c r="A151" s="50" t="s">
        <v>196</v>
      </c>
      <c r="B151" s="51">
        <v>1783</v>
      </c>
      <c r="C151" s="51">
        <v>66</v>
      </c>
      <c r="D151" s="51">
        <v>1317</v>
      </c>
      <c r="E151" s="51">
        <v>400</v>
      </c>
      <c r="F151" s="51">
        <v>7992169</v>
      </c>
      <c r="G151" s="50" t="s">
        <v>25</v>
      </c>
      <c r="H151" s="52">
        <v>43921</v>
      </c>
      <c r="I151" s="70">
        <f t="shared" si="6"/>
        <v>3.7016264722378012E-2</v>
      </c>
      <c r="J151" s="70">
        <f t="shared" si="7"/>
        <v>0.73864273696017946</v>
      </c>
      <c r="K151" s="70">
        <f t="shared" si="8"/>
        <v>2.230933805328691E-4</v>
      </c>
      <c r="L151" t="str" cm="1">
        <f t="array" ref="L151">_xlfn.IFS(I151&gt;5%,"HIGH RISK",I151&lt;2%,"LOW RISK",OR(I151&gt;2%,I151&lt;5%),"MODERATE RISK")</f>
        <v>MODERATE RISK</v>
      </c>
      <c r="M151" t="str" cm="1">
        <f t="array" ref="M151">_xlfn.IFS(I151&gt;5%,"HIGH RISK",AND(I151&gt;=2%,I151&lt;=5%),"MODERATE RISK",I151&lt;2%,"LOW RISK")</f>
        <v>MODERATE RISK</v>
      </c>
      <c r="N151" cm="1">
        <f t="array" ref="N151">_xlfn.IFS(M151="LOW RISK",1,M151="MODERATE RISK",2,M151="HIGH RISK",3)</f>
        <v>2</v>
      </c>
    </row>
    <row r="152" spans="1:14" x14ac:dyDescent="0.3">
      <c r="A152" s="47" t="s">
        <v>197</v>
      </c>
      <c r="B152" s="48">
        <v>50838</v>
      </c>
      <c r="C152" s="48">
        <v>27</v>
      </c>
      <c r="D152" s="48">
        <v>45692</v>
      </c>
      <c r="E152" s="48">
        <v>5119</v>
      </c>
      <c r="F152" s="48">
        <v>5854932</v>
      </c>
      <c r="G152" s="47" t="s">
        <v>26</v>
      </c>
      <c r="H152" s="49">
        <v>43853</v>
      </c>
      <c r="I152" s="70">
        <f t="shared" si="6"/>
        <v>5.3109878437389356E-4</v>
      </c>
      <c r="J152" s="70">
        <f t="shared" si="7"/>
        <v>0.89877650576340529</v>
      </c>
      <c r="K152" s="70">
        <f t="shared" si="8"/>
        <v>8.6829360272672688E-3</v>
      </c>
      <c r="L152" t="str" cm="1">
        <f t="array" ref="L152">_xlfn.IFS(I152&gt;5%,"HIGH RISK",I152&lt;2%,"LOW RISK",OR(I152&gt;2%,I152&lt;5%),"MODERATE RISK")</f>
        <v>LOW RISK</v>
      </c>
      <c r="M152" t="str" cm="1">
        <f t="array" ref="M152">_xlfn.IFS(I152&gt;5%,"HIGH RISK",AND(I152&gt;=2%,I152&lt;=5%),"MODERATE RISK",I152&lt;2%,"LOW RISK")</f>
        <v>LOW RISK</v>
      </c>
      <c r="N152" cm="1">
        <f t="array" ref="N152">_xlfn.IFS(M152="LOW RISK",1,M152="MODERATE RISK",2,M152="HIGH RISK",3)</f>
        <v>1</v>
      </c>
    </row>
    <row r="153" spans="1:14" x14ac:dyDescent="0.3">
      <c r="A153" s="50" t="s">
        <v>198</v>
      </c>
      <c r="B153" s="51">
        <v>2181</v>
      </c>
      <c r="C153" s="51">
        <v>28</v>
      </c>
      <c r="D153" s="51">
        <v>1616</v>
      </c>
      <c r="E153" s="51">
        <v>537</v>
      </c>
      <c r="F153" s="51">
        <v>5459915</v>
      </c>
      <c r="G153" s="50" t="s">
        <v>28</v>
      </c>
      <c r="H153" s="52">
        <v>43896</v>
      </c>
      <c r="I153" s="70">
        <f t="shared" si="6"/>
        <v>1.2838147638697846E-2</v>
      </c>
      <c r="J153" s="70">
        <f t="shared" si="7"/>
        <v>0.74094452086198992</v>
      </c>
      <c r="K153" s="70">
        <f t="shared" si="8"/>
        <v>3.994567680998697E-4</v>
      </c>
      <c r="L153" t="str" cm="1">
        <f t="array" ref="L153">_xlfn.IFS(I153&gt;5%,"HIGH RISK",I153&lt;2%,"LOW RISK",OR(I153&gt;2%,I153&lt;5%),"MODERATE RISK")</f>
        <v>LOW RISK</v>
      </c>
      <c r="M153" t="str" cm="1">
        <f t="array" ref="M153">_xlfn.IFS(I153&gt;5%,"HIGH RISK",AND(I153&gt;=2%,I153&lt;=5%),"MODERATE RISK",I153&lt;2%,"LOW RISK")</f>
        <v>LOW RISK</v>
      </c>
      <c r="N153" cm="1">
        <f t="array" ref="N153">_xlfn.IFS(M153="LOW RISK",1,M153="MODERATE RISK",2,M153="HIGH RISK",3)</f>
        <v>1</v>
      </c>
    </row>
    <row r="154" spans="1:14" x14ac:dyDescent="0.3">
      <c r="A154" s="47" t="s">
        <v>199</v>
      </c>
      <c r="B154" s="48">
        <v>2087</v>
      </c>
      <c r="C154" s="48">
        <v>116</v>
      </c>
      <c r="D154" s="48">
        <v>1733</v>
      </c>
      <c r="E154" s="48">
        <v>238</v>
      </c>
      <c r="F154" s="48">
        <v>2078968</v>
      </c>
      <c r="G154" s="47" t="s">
        <v>28</v>
      </c>
      <c r="H154" s="49">
        <v>43894</v>
      </c>
      <c r="I154" s="70">
        <f t="shared" si="6"/>
        <v>5.558217537134643E-2</v>
      </c>
      <c r="J154" s="70">
        <f t="shared" si="7"/>
        <v>0.83037853378054627</v>
      </c>
      <c r="K154" s="70">
        <f t="shared" si="8"/>
        <v>1.0038634553297598E-3</v>
      </c>
      <c r="L154" t="str" cm="1">
        <f t="array" ref="L154">_xlfn.IFS(I154&gt;5%,"HIGH RISK",I154&lt;2%,"LOW RISK",OR(I154&gt;2%,I154&lt;5%),"MODERATE RISK")</f>
        <v>HIGH RISK</v>
      </c>
      <c r="M154" t="str" cm="1">
        <f t="array" ref="M154">_xlfn.IFS(I154&gt;5%,"HIGH RISK",AND(I154&gt;=2%,I154&lt;=5%),"MODERATE RISK",I154&lt;2%,"LOW RISK")</f>
        <v>HIGH RISK</v>
      </c>
      <c r="N154" cm="1">
        <f t="array" ref="N154">_xlfn.IFS(M154="LOW RISK",1,M154="MODERATE RISK",2,M154="HIGH RISK",3)</f>
        <v>3</v>
      </c>
    </row>
    <row r="155" spans="1:14" x14ac:dyDescent="0.3">
      <c r="A155" s="50" t="s">
        <v>200</v>
      </c>
      <c r="B155" s="51">
        <v>3196</v>
      </c>
      <c r="C155" s="51">
        <v>93</v>
      </c>
      <c r="D155" s="51">
        <v>1543</v>
      </c>
      <c r="E155" s="51">
        <v>1560</v>
      </c>
      <c r="F155" s="51">
        <v>15933012</v>
      </c>
      <c r="G155" s="50" t="s">
        <v>25</v>
      </c>
      <c r="H155" s="52">
        <v>43906</v>
      </c>
      <c r="I155" s="70">
        <f t="shared" si="6"/>
        <v>2.9098873591989989E-2</v>
      </c>
      <c r="J155" s="70">
        <f t="shared" si="7"/>
        <v>0.48279098873591991</v>
      </c>
      <c r="K155" s="70">
        <f t="shared" si="8"/>
        <v>2.0058981942648382E-4</v>
      </c>
      <c r="L155" t="str" cm="1">
        <f t="array" ref="L155">_xlfn.IFS(I155&gt;5%,"HIGH RISK",I155&lt;2%,"LOW RISK",OR(I155&gt;2%,I155&lt;5%),"MODERATE RISK")</f>
        <v>MODERATE RISK</v>
      </c>
      <c r="M155" t="str" cm="1">
        <f t="array" ref="M155">_xlfn.IFS(I155&gt;5%,"HIGH RISK",AND(I155&gt;=2%,I155&lt;=5%),"MODERATE RISK",I155&lt;2%,"LOW RISK")</f>
        <v>MODERATE RISK</v>
      </c>
      <c r="N155" cm="1">
        <f t="array" ref="N155">_xlfn.IFS(M155="LOW RISK",1,M155="MODERATE RISK",2,M155="HIGH RISK",3)</f>
        <v>2</v>
      </c>
    </row>
    <row r="156" spans="1:14" x14ac:dyDescent="0.3">
      <c r="A156" s="47" t="s">
        <v>10</v>
      </c>
      <c r="B156" s="48">
        <v>452529</v>
      </c>
      <c r="C156" s="48">
        <v>7067</v>
      </c>
      <c r="D156" s="48">
        <v>274925</v>
      </c>
      <c r="E156" s="48">
        <v>170537</v>
      </c>
      <c r="F156" s="48">
        <v>59381566</v>
      </c>
      <c r="G156" s="47" t="s">
        <v>25</v>
      </c>
      <c r="H156" s="49">
        <v>43895</v>
      </c>
      <c r="I156" s="70">
        <f t="shared" si="6"/>
        <v>1.5616678710093718E-2</v>
      </c>
      <c r="J156" s="70">
        <f t="shared" si="7"/>
        <v>0.60753012514115112</v>
      </c>
      <c r="K156" s="70">
        <f t="shared" si="8"/>
        <v>7.6206983157028904E-3</v>
      </c>
      <c r="L156" t="str" cm="1">
        <f t="array" ref="L156">_xlfn.IFS(I156&gt;5%,"HIGH RISK",I156&lt;2%,"LOW RISK",OR(I156&gt;2%,I156&lt;5%),"MODERATE RISK")</f>
        <v>LOW RISK</v>
      </c>
      <c r="M156" t="str" cm="1">
        <f t="array" ref="M156">_xlfn.IFS(I156&gt;5%,"HIGH RISK",AND(I156&gt;=2%,I156&lt;=5%),"MODERATE RISK",I156&lt;2%,"LOW RISK")</f>
        <v>LOW RISK</v>
      </c>
      <c r="N156" cm="1">
        <f t="array" ref="N156">_xlfn.IFS(M156="LOW RISK",1,M156="MODERATE RISK",2,M156="HIGH RISK",3)</f>
        <v>1</v>
      </c>
    </row>
    <row r="157" spans="1:14" x14ac:dyDescent="0.3">
      <c r="A157" s="50" t="s">
        <v>201</v>
      </c>
      <c r="B157" s="51">
        <v>14203</v>
      </c>
      <c r="C157" s="51">
        <v>300</v>
      </c>
      <c r="D157" s="51">
        <v>13007</v>
      </c>
      <c r="E157" s="51">
        <v>896</v>
      </c>
      <c r="F157" s="51">
        <v>51273732</v>
      </c>
      <c r="G157" s="50" t="s">
        <v>26</v>
      </c>
      <c r="H157" s="52">
        <v>43850</v>
      </c>
      <c r="I157" s="70">
        <f t="shared" si="6"/>
        <v>2.1122298106033936E-2</v>
      </c>
      <c r="J157" s="70">
        <f t="shared" si="7"/>
        <v>0.91579243821727807</v>
      </c>
      <c r="K157" s="70">
        <f t="shared" si="8"/>
        <v>2.7700343715959667E-4</v>
      </c>
      <c r="L157" t="str" cm="1">
        <f t="array" ref="L157">_xlfn.IFS(I157&gt;5%,"HIGH RISK",I157&lt;2%,"LOW RISK",OR(I157&gt;2%,I157&lt;5%),"MODERATE RISK")</f>
        <v>MODERATE RISK</v>
      </c>
      <c r="M157" t="str" cm="1">
        <f t="array" ref="M157">_xlfn.IFS(I157&gt;5%,"HIGH RISK",AND(I157&gt;=2%,I157&lt;=5%),"MODERATE RISK",I157&lt;2%,"LOW RISK")</f>
        <v>MODERATE RISK</v>
      </c>
      <c r="N157" cm="1">
        <f t="array" ref="N157">_xlfn.IFS(M157="LOW RISK",1,M157="MODERATE RISK",2,M157="HIGH RISK",3)</f>
        <v>2</v>
      </c>
    </row>
    <row r="158" spans="1:14" x14ac:dyDescent="0.3">
      <c r="A158" s="47" t="s">
        <v>202</v>
      </c>
      <c r="B158" s="48">
        <v>2305</v>
      </c>
      <c r="C158" s="48">
        <v>46</v>
      </c>
      <c r="D158" s="48">
        <v>1175</v>
      </c>
      <c r="E158" s="48">
        <v>1084</v>
      </c>
      <c r="F158" s="48">
        <v>11206572</v>
      </c>
      <c r="G158" s="47" t="s">
        <v>25</v>
      </c>
      <c r="H158" s="49">
        <v>43926</v>
      </c>
      <c r="I158" s="70">
        <f t="shared" si="6"/>
        <v>1.9956616052060738E-2</v>
      </c>
      <c r="J158" s="70">
        <f t="shared" si="7"/>
        <v>0.50976138828633411</v>
      </c>
      <c r="K158" s="70">
        <f t="shared" si="8"/>
        <v>2.0568287965311784E-4</v>
      </c>
      <c r="L158" t="str" cm="1">
        <f t="array" ref="L158">_xlfn.IFS(I158&gt;5%,"HIGH RISK",I158&lt;2%,"LOW RISK",OR(I158&gt;2%,I158&lt;5%),"MODERATE RISK")</f>
        <v>LOW RISK</v>
      </c>
      <c r="M158" t="str" cm="1">
        <f t="array" ref="M158">_xlfn.IFS(I158&gt;5%,"HIGH RISK",AND(I158&gt;=2%,I158&lt;=5%),"MODERATE RISK",I158&lt;2%,"LOW RISK")</f>
        <v>LOW RISK</v>
      </c>
      <c r="N158" cm="1">
        <f t="array" ref="N158">_xlfn.IFS(M158="LOW RISK",1,M158="MODERATE RISK",2,M158="HIGH RISK",3)</f>
        <v>1</v>
      </c>
    </row>
    <row r="159" spans="1:14" x14ac:dyDescent="0.3">
      <c r="A159" s="50" t="s">
        <v>203</v>
      </c>
      <c r="B159" s="51">
        <v>272421</v>
      </c>
      <c r="C159" s="51">
        <v>28432</v>
      </c>
      <c r="D159" s="51">
        <v>150376</v>
      </c>
      <c r="E159" s="51">
        <v>93613</v>
      </c>
      <c r="F159" s="51">
        <v>46756648</v>
      </c>
      <c r="G159" s="50" t="s">
        <v>28</v>
      </c>
      <c r="H159" s="52">
        <v>43861</v>
      </c>
      <c r="I159" s="70">
        <f t="shared" si="6"/>
        <v>0.10436787178668311</v>
      </c>
      <c r="J159" s="70">
        <f t="shared" si="7"/>
        <v>0.55199856105072664</v>
      </c>
      <c r="K159" s="70">
        <f t="shared" si="8"/>
        <v>5.8263586388827534E-3</v>
      </c>
      <c r="L159" t="str" cm="1">
        <f t="array" ref="L159">_xlfn.IFS(I159&gt;5%,"HIGH RISK",I159&lt;2%,"LOW RISK",OR(I159&gt;2%,I159&lt;5%),"MODERATE RISK")</f>
        <v>HIGH RISK</v>
      </c>
      <c r="M159" t="str" cm="1">
        <f t="array" ref="M159">_xlfn.IFS(I159&gt;5%,"HIGH RISK",AND(I159&gt;=2%,I159&lt;=5%),"MODERATE RISK",I159&lt;2%,"LOW RISK")</f>
        <v>HIGH RISK</v>
      </c>
      <c r="N159" cm="1">
        <f t="array" ref="N159">_xlfn.IFS(M159="LOW RISK",1,M159="MODERATE RISK",2,M159="HIGH RISK",3)</f>
        <v>3</v>
      </c>
    </row>
    <row r="160" spans="1:14" x14ac:dyDescent="0.3">
      <c r="A160" s="47" t="s">
        <v>204</v>
      </c>
      <c r="B160" s="48">
        <v>2805</v>
      </c>
      <c r="C160" s="48">
        <v>11</v>
      </c>
      <c r="D160" s="48">
        <v>2121</v>
      </c>
      <c r="E160" s="48">
        <v>673</v>
      </c>
      <c r="F160" s="48">
        <v>21422362</v>
      </c>
      <c r="G160" s="47" t="s">
        <v>26</v>
      </c>
      <c r="H160" s="49">
        <v>43857</v>
      </c>
      <c r="I160" s="70">
        <f t="shared" si="6"/>
        <v>3.9215686274509803E-3</v>
      </c>
      <c r="J160" s="70">
        <f t="shared" si="7"/>
        <v>0.75614973262032081</v>
      </c>
      <c r="K160" s="70">
        <f t="shared" si="8"/>
        <v>1.3093794232400704E-4</v>
      </c>
      <c r="L160" t="str" cm="1">
        <f t="array" ref="L160">_xlfn.IFS(I160&gt;5%,"HIGH RISK",I160&lt;2%,"LOW RISK",OR(I160&gt;2%,I160&lt;5%),"MODERATE RISK")</f>
        <v>LOW RISK</v>
      </c>
      <c r="M160" t="str" cm="1">
        <f t="array" ref="M160">_xlfn.IFS(I160&gt;5%,"HIGH RISK",AND(I160&gt;=2%,I160&lt;=5%),"MODERATE RISK",I160&lt;2%,"LOW RISK")</f>
        <v>LOW RISK</v>
      </c>
      <c r="N160" cm="1">
        <f t="array" ref="N160">_xlfn.IFS(M160="LOW RISK",1,M160="MODERATE RISK",2,M160="HIGH RISK",3)</f>
        <v>1</v>
      </c>
    </row>
    <row r="161" spans="1:14" x14ac:dyDescent="0.3">
      <c r="A161" s="50" t="s">
        <v>205</v>
      </c>
      <c r="B161" s="51">
        <v>11424</v>
      </c>
      <c r="C161" s="51">
        <v>720</v>
      </c>
      <c r="D161" s="51">
        <v>5939</v>
      </c>
      <c r="E161" s="51">
        <v>4765</v>
      </c>
      <c r="F161" s="51">
        <v>43943536</v>
      </c>
      <c r="G161" s="50" t="s">
        <v>25</v>
      </c>
      <c r="H161" s="52">
        <v>43903</v>
      </c>
      <c r="I161" s="70">
        <f t="shared" si="6"/>
        <v>6.3025210084033612E-2</v>
      </c>
      <c r="J161" s="70">
        <f t="shared" si="7"/>
        <v>0.51987044817927175</v>
      </c>
      <c r="K161" s="70">
        <f t="shared" si="8"/>
        <v>2.5996997601649536E-4</v>
      </c>
      <c r="L161" t="str" cm="1">
        <f t="array" ref="L161">_xlfn.IFS(I161&gt;5%,"HIGH RISK",I161&lt;2%,"LOW RISK",OR(I161&gt;2%,I161&lt;5%),"MODERATE RISK")</f>
        <v>HIGH RISK</v>
      </c>
      <c r="M161" t="str" cm="1">
        <f t="array" ref="M161">_xlfn.IFS(I161&gt;5%,"HIGH RISK",AND(I161&gt;=2%,I161&lt;=5%),"MODERATE RISK",I161&lt;2%,"LOW RISK")</f>
        <v>HIGH RISK</v>
      </c>
      <c r="N161" cm="1">
        <f t="array" ref="N161">_xlfn.IFS(M161="LOW RISK",1,M161="MODERATE RISK",2,M161="HIGH RISK",3)</f>
        <v>3</v>
      </c>
    </row>
    <row r="162" spans="1:14" x14ac:dyDescent="0.3">
      <c r="A162" s="47" t="s">
        <v>206</v>
      </c>
      <c r="B162" s="48">
        <v>1483</v>
      </c>
      <c r="C162" s="48">
        <v>24</v>
      </c>
      <c r="D162" s="48">
        <v>925</v>
      </c>
      <c r="E162" s="48">
        <v>534</v>
      </c>
      <c r="F162" s="48">
        <v>587154</v>
      </c>
      <c r="G162" s="47" t="s">
        <v>30</v>
      </c>
      <c r="H162" s="49">
        <v>43903</v>
      </c>
      <c r="I162" s="70">
        <f t="shared" si="6"/>
        <v>1.6183412002697236E-2</v>
      </c>
      <c r="J162" s="70">
        <f t="shared" si="7"/>
        <v>0.62373567093728932</v>
      </c>
      <c r="K162" s="70">
        <f t="shared" si="8"/>
        <v>2.5257428204525558E-3</v>
      </c>
      <c r="L162" t="str" cm="1">
        <f t="array" ref="L162">_xlfn.IFS(I162&gt;5%,"HIGH RISK",I162&lt;2%,"LOW RISK",OR(I162&gt;2%,I162&lt;5%),"MODERATE RISK")</f>
        <v>LOW RISK</v>
      </c>
      <c r="M162" t="str" cm="1">
        <f t="array" ref="M162">_xlfn.IFS(I162&gt;5%,"HIGH RISK",AND(I162&gt;=2%,I162&lt;=5%),"MODERATE RISK",I162&lt;2%,"LOW RISK")</f>
        <v>LOW RISK</v>
      </c>
      <c r="N162" cm="1">
        <f t="array" ref="N162">_xlfn.IFS(M162="LOW RISK",1,M162="MODERATE RISK",2,M162="HIGH RISK",3)</f>
        <v>1</v>
      </c>
    </row>
    <row r="163" spans="1:14" x14ac:dyDescent="0.3">
      <c r="A163" s="50" t="s">
        <v>207</v>
      </c>
      <c r="B163" s="51">
        <v>79395</v>
      </c>
      <c r="C163" s="51">
        <v>5700</v>
      </c>
      <c r="D163" s="51">
        <v>0</v>
      </c>
      <c r="E163" s="51">
        <v>73695</v>
      </c>
      <c r="F163" s="51">
        <v>10105596</v>
      </c>
      <c r="G163" s="50" t="s">
        <v>28</v>
      </c>
      <c r="H163" s="52">
        <v>43861</v>
      </c>
      <c r="I163" s="70">
        <f t="shared" si="6"/>
        <v>7.1792934063857922E-2</v>
      </c>
      <c r="J163" s="70">
        <f t="shared" si="7"/>
        <v>0</v>
      </c>
      <c r="K163" s="70">
        <f t="shared" si="8"/>
        <v>7.8565381002763217E-3</v>
      </c>
      <c r="L163" t="str" cm="1">
        <f t="array" ref="L163">_xlfn.IFS(I163&gt;5%,"HIGH RISK",I163&lt;2%,"LOW RISK",OR(I163&gt;2%,I163&lt;5%),"MODERATE RISK")</f>
        <v>HIGH RISK</v>
      </c>
      <c r="M163" t="str" cm="1">
        <f t="array" ref="M163">_xlfn.IFS(I163&gt;5%,"HIGH RISK",AND(I163&gt;=2%,I163&lt;=5%),"MODERATE RISK",I163&lt;2%,"LOW RISK")</f>
        <v>HIGH RISK</v>
      </c>
      <c r="N163" cm="1">
        <f t="array" ref="N163">_xlfn.IFS(M163="LOW RISK",1,M163="MODERATE RISK",2,M163="HIGH RISK",3)</f>
        <v>3</v>
      </c>
    </row>
    <row r="164" spans="1:14" x14ac:dyDescent="0.3">
      <c r="A164" s="47" t="s">
        <v>208</v>
      </c>
      <c r="B164" s="48">
        <v>34477</v>
      </c>
      <c r="C164" s="48">
        <v>1978</v>
      </c>
      <c r="D164" s="48">
        <v>30900</v>
      </c>
      <c r="E164" s="48">
        <v>1599</v>
      </c>
      <c r="F164" s="48">
        <v>8660952</v>
      </c>
      <c r="G164" s="47" t="s">
        <v>28</v>
      </c>
      <c r="H164" s="49">
        <v>43886</v>
      </c>
      <c r="I164" s="70">
        <f t="shared" si="6"/>
        <v>5.7371581054036024E-2</v>
      </c>
      <c r="J164" s="70">
        <f t="shared" si="7"/>
        <v>0.89624967369550712</v>
      </c>
      <c r="K164" s="70">
        <f t="shared" si="8"/>
        <v>3.9807402234765879E-3</v>
      </c>
      <c r="L164" t="str" cm="1">
        <f t="array" ref="L164">_xlfn.IFS(I164&gt;5%,"HIGH RISK",I164&lt;2%,"LOW RISK",OR(I164&gt;2%,I164&lt;5%),"MODERATE RISK")</f>
        <v>HIGH RISK</v>
      </c>
      <c r="M164" t="str" cm="1">
        <f t="array" ref="M164">_xlfn.IFS(I164&gt;5%,"HIGH RISK",AND(I164&gt;=2%,I164&lt;=5%),"MODERATE RISK",I164&lt;2%,"LOW RISK")</f>
        <v>HIGH RISK</v>
      </c>
      <c r="N164" cm="1">
        <f t="array" ref="N164">_xlfn.IFS(M164="LOW RISK",1,M164="MODERATE RISK",2,M164="HIGH RISK",3)</f>
        <v>3</v>
      </c>
    </row>
    <row r="165" spans="1:14" x14ac:dyDescent="0.3">
      <c r="A165" s="50" t="s">
        <v>209</v>
      </c>
      <c r="B165" s="51">
        <v>674</v>
      </c>
      <c r="C165" s="51">
        <v>40</v>
      </c>
      <c r="D165" s="51">
        <v>0</v>
      </c>
      <c r="E165" s="51">
        <v>634</v>
      </c>
      <c r="F165" s="51">
        <v>17539600</v>
      </c>
      <c r="G165" s="50" t="s">
        <v>26</v>
      </c>
      <c r="H165" s="52">
        <v>43912</v>
      </c>
      <c r="I165" s="70">
        <f t="shared" si="6"/>
        <v>5.9347181008902079E-2</v>
      </c>
      <c r="J165" s="70">
        <f t="shared" si="7"/>
        <v>0</v>
      </c>
      <c r="K165" s="70">
        <f t="shared" si="8"/>
        <v>3.8427330155761816E-5</v>
      </c>
      <c r="L165" t="str" cm="1">
        <f t="array" ref="L165">_xlfn.IFS(I165&gt;5%,"HIGH RISK",I165&lt;2%,"LOW RISK",OR(I165&gt;2%,I165&lt;5%),"MODERATE RISK")</f>
        <v>HIGH RISK</v>
      </c>
      <c r="M165" t="str" cm="1">
        <f t="array" ref="M165">_xlfn.IFS(I165&gt;5%,"HIGH RISK",AND(I165&gt;=2%,I165&lt;=5%),"MODERATE RISK",I165&lt;2%,"LOW RISK")</f>
        <v>HIGH RISK</v>
      </c>
      <c r="N165" cm="1">
        <f t="array" ref="N165">_xlfn.IFS(M165="LOW RISK",1,M165="MODERATE RISK",2,M165="HIGH RISK",3)</f>
        <v>3</v>
      </c>
    </row>
    <row r="166" spans="1:14" x14ac:dyDescent="0.3">
      <c r="A166" s="47" t="s">
        <v>210</v>
      </c>
      <c r="B166" s="48">
        <v>462</v>
      </c>
      <c r="C166" s="48">
        <v>7</v>
      </c>
      <c r="D166" s="48">
        <v>440</v>
      </c>
      <c r="E166" s="48">
        <v>15</v>
      </c>
      <c r="F166" s="48">
        <v>23821199</v>
      </c>
      <c r="G166" s="47" t="s">
        <v>26</v>
      </c>
      <c r="H166" s="49">
        <v>43851</v>
      </c>
      <c r="I166" s="70">
        <f t="shared" si="6"/>
        <v>1.5151515151515152E-2</v>
      </c>
      <c r="J166" s="70">
        <f t="shared" si="7"/>
        <v>0.95238095238095233</v>
      </c>
      <c r="K166" s="70">
        <f t="shared" si="8"/>
        <v>1.9394489756791838E-5</v>
      </c>
      <c r="L166" t="str" cm="1">
        <f t="array" ref="L166">_xlfn.IFS(I166&gt;5%,"HIGH RISK",I166&lt;2%,"LOW RISK",OR(I166&gt;2%,I166&lt;5%),"MODERATE RISK")</f>
        <v>LOW RISK</v>
      </c>
      <c r="M166" t="str" cm="1">
        <f t="array" ref="M166">_xlfn.IFS(I166&gt;5%,"HIGH RISK",AND(I166&gt;=2%,I166&lt;=5%),"MODERATE RISK",I166&lt;2%,"LOW RISK")</f>
        <v>LOW RISK</v>
      </c>
      <c r="N166" cm="1">
        <f t="array" ref="N166">_xlfn.IFS(M166="LOW RISK",1,M166="MODERATE RISK",2,M166="HIGH RISK",3)</f>
        <v>1</v>
      </c>
    </row>
    <row r="167" spans="1:14" x14ac:dyDescent="0.3">
      <c r="A167" s="50" t="s">
        <v>211</v>
      </c>
      <c r="B167" s="51">
        <v>7235</v>
      </c>
      <c r="C167" s="51">
        <v>60</v>
      </c>
      <c r="D167" s="51">
        <v>6028</v>
      </c>
      <c r="E167" s="51">
        <v>1147</v>
      </c>
      <c r="F167" s="51">
        <v>9557468</v>
      </c>
      <c r="G167" s="50" t="s">
        <v>26</v>
      </c>
      <c r="H167" s="52">
        <v>43951</v>
      </c>
      <c r="I167" s="70">
        <f t="shared" si="6"/>
        <v>8.2930200414651004E-3</v>
      </c>
      <c r="J167" s="70">
        <f t="shared" si="7"/>
        <v>0.83317208016586042</v>
      </c>
      <c r="K167" s="70">
        <f t="shared" si="8"/>
        <v>7.569996572313922E-4</v>
      </c>
      <c r="L167" t="str" cm="1">
        <f t="array" ref="L167">_xlfn.IFS(I167&gt;5%,"HIGH RISK",I167&lt;2%,"LOW RISK",OR(I167&gt;2%,I167&lt;5%),"MODERATE RISK")</f>
        <v>LOW RISK</v>
      </c>
      <c r="M167" t="str" cm="1">
        <f t="array" ref="M167">_xlfn.IFS(I167&gt;5%,"HIGH RISK",AND(I167&gt;=2%,I167&lt;=5%),"MODERATE RISK",I167&lt;2%,"LOW RISK")</f>
        <v>LOW RISK</v>
      </c>
      <c r="N167" cm="1">
        <f t="array" ref="N167">_xlfn.IFS(M167="LOW RISK",1,M167="MODERATE RISK",2,M167="HIGH RISK",3)</f>
        <v>1</v>
      </c>
    </row>
    <row r="168" spans="1:14" x14ac:dyDescent="0.3">
      <c r="A168" s="47" t="s">
        <v>212</v>
      </c>
      <c r="B168" s="48">
        <v>509</v>
      </c>
      <c r="C168" s="48">
        <v>21</v>
      </c>
      <c r="D168" s="48">
        <v>183</v>
      </c>
      <c r="E168" s="48">
        <v>305</v>
      </c>
      <c r="F168" s="48">
        <v>59886383</v>
      </c>
      <c r="G168" s="47" t="s">
        <v>25</v>
      </c>
      <c r="H168" s="49">
        <v>43906</v>
      </c>
      <c r="I168" s="70">
        <f t="shared" si="6"/>
        <v>4.1257367387033402E-2</v>
      </c>
      <c r="J168" s="70">
        <f t="shared" si="7"/>
        <v>0.35952848722986247</v>
      </c>
      <c r="K168" s="70">
        <f t="shared" si="8"/>
        <v>8.4994279918358071E-6</v>
      </c>
      <c r="L168" t="str" cm="1">
        <f t="array" ref="L168">_xlfn.IFS(I168&gt;5%,"HIGH RISK",I168&lt;2%,"LOW RISK",OR(I168&gt;2%,I168&lt;5%),"MODERATE RISK")</f>
        <v>MODERATE RISK</v>
      </c>
      <c r="M168" t="str" cm="1">
        <f t="array" ref="M168">_xlfn.IFS(I168&gt;5%,"HIGH RISK",AND(I168&gt;=2%,I168&lt;=5%),"MODERATE RISK",I168&lt;2%,"LOW RISK")</f>
        <v>MODERATE RISK</v>
      </c>
      <c r="N168" cm="1">
        <f t="array" ref="N168">_xlfn.IFS(M168="LOW RISK",1,M168="MODERATE RISK",2,M168="HIGH RISK",3)</f>
        <v>2</v>
      </c>
    </row>
    <row r="169" spans="1:14" x14ac:dyDescent="0.3">
      <c r="A169" s="50" t="s">
        <v>213</v>
      </c>
      <c r="B169" s="51">
        <v>3297</v>
      </c>
      <c r="C169" s="51">
        <v>58</v>
      </c>
      <c r="D169" s="51">
        <v>3111</v>
      </c>
      <c r="E169" s="51">
        <v>128</v>
      </c>
      <c r="F169" s="51">
        <v>69817894</v>
      </c>
      <c r="G169" s="50" t="s">
        <v>26</v>
      </c>
      <c r="H169" s="52">
        <v>43843</v>
      </c>
      <c r="I169" s="70">
        <f t="shared" si="6"/>
        <v>1.7591750075826508E-2</v>
      </c>
      <c r="J169" s="70">
        <f t="shared" si="7"/>
        <v>0.94358507734303909</v>
      </c>
      <c r="K169" s="70">
        <f t="shared" si="8"/>
        <v>4.7222850921283877E-5</v>
      </c>
      <c r="L169" t="str" cm="1">
        <f t="array" ref="L169">_xlfn.IFS(I169&gt;5%,"HIGH RISK",I169&lt;2%,"LOW RISK",OR(I169&gt;2%,I169&lt;5%),"MODERATE RISK")</f>
        <v>LOW RISK</v>
      </c>
      <c r="M169" t="str" cm="1">
        <f t="array" ref="M169">_xlfn.IFS(I169&gt;5%,"HIGH RISK",AND(I169&gt;=2%,I169&lt;=5%),"MODERATE RISK",I169&lt;2%,"LOW RISK")</f>
        <v>LOW RISK</v>
      </c>
      <c r="N169" cm="1">
        <f t="array" ref="N169">_xlfn.IFS(M169="LOW RISK",1,M169="MODERATE RISK",2,M169="HIGH RISK",3)</f>
        <v>1</v>
      </c>
    </row>
    <row r="170" spans="1:14" x14ac:dyDescent="0.3">
      <c r="A170" s="47" t="s">
        <v>214</v>
      </c>
      <c r="B170" s="48">
        <v>24</v>
      </c>
      <c r="C170" s="48">
        <v>0</v>
      </c>
      <c r="D170" s="48">
        <v>0</v>
      </c>
      <c r="E170" s="48">
        <v>24</v>
      </c>
      <c r="F170" s="48">
        <v>1320812</v>
      </c>
      <c r="G170" s="47" t="s">
        <v>26</v>
      </c>
      <c r="H170" s="49">
        <v>43911</v>
      </c>
      <c r="I170" s="70">
        <f t="shared" si="6"/>
        <v>0</v>
      </c>
      <c r="J170" s="70">
        <f t="shared" si="7"/>
        <v>0</v>
      </c>
      <c r="K170" s="70">
        <f t="shared" si="8"/>
        <v>1.8170640484792688E-5</v>
      </c>
      <c r="L170" t="str" cm="1">
        <f t="array" ref="L170">_xlfn.IFS(I170&gt;5%,"HIGH RISK",I170&lt;2%,"LOW RISK",OR(I170&gt;2%,I170&lt;5%),"MODERATE RISK")</f>
        <v>LOW RISK</v>
      </c>
      <c r="M170" t="str" cm="1">
        <f t="array" ref="M170">_xlfn.IFS(I170&gt;5%,"HIGH RISK",AND(I170&gt;=2%,I170&lt;=5%),"MODERATE RISK",I170&lt;2%,"LOW RISK")</f>
        <v>LOW RISK</v>
      </c>
      <c r="N170" cm="1">
        <f t="array" ref="N170">_xlfn.IFS(M170="LOW RISK",1,M170="MODERATE RISK",2,M170="HIGH RISK",3)</f>
        <v>1</v>
      </c>
    </row>
    <row r="171" spans="1:14" x14ac:dyDescent="0.3">
      <c r="A171" s="50" t="s">
        <v>215</v>
      </c>
      <c r="B171" s="51">
        <v>874</v>
      </c>
      <c r="C171" s="51">
        <v>18</v>
      </c>
      <c r="D171" s="51">
        <v>607</v>
      </c>
      <c r="E171" s="51">
        <v>249</v>
      </c>
      <c r="F171" s="51">
        <v>8296582</v>
      </c>
      <c r="G171" s="50" t="s">
        <v>25</v>
      </c>
      <c r="H171" s="52">
        <v>43896</v>
      </c>
      <c r="I171" s="70">
        <f t="shared" si="6"/>
        <v>2.0594965675057208E-2</v>
      </c>
      <c r="J171" s="70">
        <f t="shared" si="7"/>
        <v>0.69450800915331812</v>
      </c>
      <c r="K171" s="70">
        <f t="shared" si="8"/>
        <v>1.0534458648151732E-4</v>
      </c>
      <c r="L171" t="str" cm="1">
        <f t="array" ref="L171">_xlfn.IFS(I171&gt;5%,"HIGH RISK",I171&lt;2%,"LOW RISK",OR(I171&gt;2%,I171&lt;5%),"MODERATE RISK")</f>
        <v>MODERATE RISK</v>
      </c>
      <c r="M171" t="str" cm="1">
        <f t="array" ref="M171">_xlfn.IFS(I171&gt;5%,"HIGH RISK",AND(I171&gt;=2%,I171&lt;=5%),"MODERATE RISK",I171&lt;2%,"LOW RISK")</f>
        <v>MODERATE RISK</v>
      </c>
      <c r="N171" cm="1">
        <f t="array" ref="N171">_xlfn.IFS(M171="LOW RISK",1,M171="MODERATE RISK",2,M171="HIGH RISK",3)</f>
        <v>2</v>
      </c>
    </row>
    <row r="172" spans="1:14" x14ac:dyDescent="0.3">
      <c r="A172" s="47" t="s">
        <v>216</v>
      </c>
      <c r="B172" s="48">
        <v>148</v>
      </c>
      <c r="C172" s="48">
        <v>8</v>
      </c>
      <c r="D172" s="48">
        <v>128</v>
      </c>
      <c r="E172" s="48">
        <v>12</v>
      </c>
      <c r="F172" s="48">
        <v>1399950</v>
      </c>
      <c r="G172" s="47" t="s">
        <v>29</v>
      </c>
      <c r="H172" s="49">
        <v>43902</v>
      </c>
      <c r="I172" s="70">
        <f t="shared" si="6"/>
        <v>5.4054054054054057E-2</v>
      </c>
      <c r="J172" s="70">
        <f t="shared" si="7"/>
        <v>0.86486486486486491</v>
      </c>
      <c r="K172" s="70">
        <f t="shared" si="8"/>
        <v>1.0571806135933426E-4</v>
      </c>
      <c r="L172" t="str" cm="1">
        <f t="array" ref="L172">_xlfn.IFS(I172&gt;5%,"HIGH RISK",I172&lt;2%,"LOW RISK",OR(I172&gt;2%,I172&lt;5%),"MODERATE RISK")</f>
        <v>HIGH RISK</v>
      </c>
      <c r="M172" t="str" cm="1">
        <f t="array" ref="M172">_xlfn.IFS(I172&gt;5%,"HIGH RISK",AND(I172&gt;=2%,I172&lt;=5%),"MODERATE RISK",I172&lt;2%,"LOW RISK")</f>
        <v>HIGH RISK</v>
      </c>
      <c r="N172" cm="1">
        <f t="array" ref="N172">_xlfn.IFS(M172="LOW RISK",1,M172="MODERATE RISK",2,M172="HIGH RISK",3)</f>
        <v>3</v>
      </c>
    </row>
    <row r="173" spans="1:14" x14ac:dyDescent="0.3">
      <c r="A173" s="50" t="s">
        <v>217</v>
      </c>
      <c r="B173" s="51">
        <v>1455</v>
      </c>
      <c r="C173" s="51">
        <v>50</v>
      </c>
      <c r="D173" s="51">
        <v>1157</v>
      </c>
      <c r="E173" s="51">
        <v>248</v>
      </c>
      <c r="F173" s="51">
        <v>11830801</v>
      </c>
      <c r="G173" s="50" t="s">
        <v>25</v>
      </c>
      <c r="H173" s="52">
        <v>43892</v>
      </c>
      <c r="I173" s="70">
        <f t="shared" si="6"/>
        <v>3.4364261168384883E-2</v>
      </c>
      <c r="J173" s="70">
        <f t="shared" si="7"/>
        <v>0.79518900343642607</v>
      </c>
      <c r="K173" s="70">
        <f t="shared" si="8"/>
        <v>1.2298406506879795E-4</v>
      </c>
      <c r="L173" t="str" cm="1">
        <f t="array" ref="L173">_xlfn.IFS(I173&gt;5%,"HIGH RISK",I173&lt;2%,"LOW RISK",OR(I173&gt;2%,I173&lt;5%),"MODERATE RISK")</f>
        <v>MODERATE RISK</v>
      </c>
      <c r="M173" t="str" cm="1">
        <f t="array" ref="M173">_xlfn.IFS(I173&gt;5%,"HIGH RISK",AND(I173&gt;=2%,I173&lt;=5%),"MODERATE RISK",I173&lt;2%,"LOW RISK")</f>
        <v>MODERATE RISK</v>
      </c>
      <c r="N173" cm="1">
        <f t="array" ref="N173">_xlfn.IFS(M173="LOW RISK",1,M173="MODERATE RISK",2,M173="HIGH RISK",3)</f>
        <v>2</v>
      </c>
    </row>
    <row r="174" spans="1:14" x14ac:dyDescent="0.3">
      <c r="A174" s="47" t="s">
        <v>218</v>
      </c>
      <c r="B174" s="48">
        <v>227019</v>
      </c>
      <c r="C174" s="48">
        <v>5630</v>
      </c>
      <c r="D174" s="48">
        <v>210469</v>
      </c>
      <c r="E174" s="48">
        <v>10920</v>
      </c>
      <c r="F174" s="48">
        <v>84428331</v>
      </c>
      <c r="G174" s="47" t="s">
        <v>26</v>
      </c>
      <c r="H174" s="49">
        <v>43901</v>
      </c>
      <c r="I174" s="70">
        <f t="shared" si="6"/>
        <v>2.4799686369863315E-2</v>
      </c>
      <c r="J174" s="70">
        <f t="shared" si="7"/>
        <v>0.92709861289143203</v>
      </c>
      <c r="K174" s="70">
        <f t="shared" si="8"/>
        <v>2.6888959820844972E-3</v>
      </c>
      <c r="L174" t="str" cm="1">
        <f t="array" ref="L174">_xlfn.IFS(I174&gt;5%,"HIGH RISK",I174&lt;2%,"LOW RISK",OR(I174&gt;2%,I174&lt;5%),"MODERATE RISK")</f>
        <v>MODERATE RISK</v>
      </c>
      <c r="M174" t="str" cm="1">
        <f t="array" ref="M174">_xlfn.IFS(I174&gt;5%,"HIGH RISK",AND(I174&gt;=2%,I174&lt;=5%),"MODERATE RISK",I174&lt;2%,"LOW RISK")</f>
        <v>MODERATE RISK</v>
      </c>
      <c r="N174" cm="1">
        <f t="array" ref="N174">_xlfn.IFS(M174="LOW RISK",1,M174="MODERATE RISK",2,M174="HIGH RISK",3)</f>
        <v>2</v>
      </c>
    </row>
    <row r="175" spans="1:14" x14ac:dyDescent="0.3">
      <c r="A175" s="50" t="s">
        <v>12</v>
      </c>
      <c r="B175" s="51">
        <v>4290259</v>
      </c>
      <c r="C175" s="51">
        <v>148011</v>
      </c>
      <c r="D175" s="51">
        <v>1325804</v>
      </c>
      <c r="E175" s="51">
        <v>2816444</v>
      </c>
      <c r="F175" s="51">
        <v>331198130</v>
      </c>
      <c r="G175" s="50" t="s">
        <v>29</v>
      </c>
      <c r="H175" s="52">
        <v>43851</v>
      </c>
      <c r="I175" s="70">
        <f t="shared" si="6"/>
        <v>3.4499315775574385E-2</v>
      </c>
      <c r="J175" s="70">
        <f t="shared" si="7"/>
        <v>0.30902656459668287</v>
      </c>
      <c r="K175" s="70">
        <f t="shared" si="8"/>
        <v>1.2953753694201112E-2</v>
      </c>
      <c r="L175" t="str" cm="1">
        <f t="array" ref="L175">_xlfn.IFS(I175&gt;5%,"HIGH RISK",I175&lt;2%,"LOW RISK",OR(I175&gt;2%,I175&lt;5%),"MODERATE RISK")</f>
        <v>MODERATE RISK</v>
      </c>
      <c r="M175" t="str" cm="1">
        <f t="array" ref="M175">_xlfn.IFS(I175&gt;5%,"HIGH RISK",AND(I175&gt;=2%,I175&lt;=5%),"MODERATE RISK",I175&lt;2%,"LOW RISK")</f>
        <v>MODERATE RISK</v>
      </c>
      <c r="N175" cm="1">
        <f t="array" ref="N175">_xlfn.IFS(M175="LOW RISK",1,M175="MODERATE RISK",2,M175="HIGH RISK",3)</f>
        <v>2</v>
      </c>
    </row>
    <row r="176" spans="1:14" x14ac:dyDescent="0.3">
      <c r="A176" s="47" t="s">
        <v>219</v>
      </c>
      <c r="B176" s="48">
        <v>1128</v>
      </c>
      <c r="C176" s="48">
        <v>2</v>
      </c>
      <c r="D176" s="48">
        <v>986</v>
      </c>
      <c r="E176" s="48">
        <v>140</v>
      </c>
      <c r="F176" s="48">
        <v>45867852</v>
      </c>
      <c r="G176" s="47" t="s">
        <v>25</v>
      </c>
      <c r="H176" s="49">
        <v>43912</v>
      </c>
      <c r="I176" s="70">
        <f t="shared" si="6"/>
        <v>1.7730496453900709E-3</v>
      </c>
      <c r="J176" s="70">
        <f t="shared" si="7"/>
        <v>0.87411347517730498</v>
      </c>
      <c r="K176" s="70">
        <f t="shared" si="8"/>
        <v>2.4592387714166339E-5</v>
      </c>
      <c r="L176" t="str" cm="1">
        <f t="array" ref="L176">_xlfn.IFS(I176&gt;5%,"HIGH RISK",I176&lt;2%,"LOW RISK",OR(I176&gt;2%,I176&lt;5%),"MODERATE RISK")</f>
        <v>LOW RISK</v>
      </c>
      <c r="M176" t="str" cm="1">
        <f t="array" ref="M176">_xlfn.IFS(I176&gt;5%,"HIGH RISK",AND(I176&gt;=2%,I176&lt;=5%),"MODERATE RISK",I176&lt;2%,"LOW RISK")</f>
        <v>LOW RISK</v>
      </c>
      <c r="N176" cm="1">
        <f t="array" ref="N176">_xlfn.IFS(M176="LOW RISK",1,M176="MODERATE RISK",2,M176="HIGH RISK",3)</f>
        <v>1</v>
      </c>
    </row>
    <row r="177" spans="1:14" x14ac:dyDescent="0.3">
      <c r="A177" s="50" t="s">
        <v>220</v>
      </c>
      <c r="B177" s="51">
        <v>67096</v>
      </c>
      <c r="C177" s="51">
        <v>1636</v>
      </c>
      <c r="D177" s="51">
        <v>37202</v>
      </c>
      <c r="E177" s="51">
        <v>28258</v>
      </c>
      <c r="F177" s="51">
        <v>43705858</v>
      </c>
      <c r="G177" s="50" t="s">
        <v>28</v>
      </c>
      <c r="H177" s="52">
        <v>43893</v>
      </c>
      <c r="I177" s="70">
        <f t="shared" si="6"/>
        <v>2.4382973649695959E-2</v>
      </c>
      <c r="J177" s="70">
        <f t="shared" si="7"/>
        <v>0.55445928222248719</v>
      </c>
      <c r="K177" s="70">
        <f t="shared" si="8"/>
        <v>1.5351717840661086E-3</v>
      </c>
      <c r="L177" t="str" cm="1">
        <f t="array" ref="L177">_xlfn.IFS(I177&gt;5%,"HIGH RISK",I177&lt;2%,"LOW RISK",OR(I177&gt;2%,I177&lt;5%),"MODERATE RISK")</f>
        <v>MODERATE RISK</v>
      </c>
      <c r="M177" t="str" cm="1">
        <f t="array" ref="M177">_xlfn.IFS(I177&gt;5%,"HIGH RISK",AND(I177&gt;=2%,I177&lt;=5%),"MODERATE RISK",I177&lt;2%,"LOW RISK")</f>
        <v>MODERATE RISK</v>
      </c>
      <c r="N177" cm="1">
        <f t="array" ref="N177">_xlfn.IFS(M177="LOW RISK",1,M177="MODERATE RISK",2,M177="HIGH RISK",3)</f>
        <v>2</v>
      </c>
    </row>
    <row r="178" spans="1:14" x14ac:dyDescent="0.3">
      <c r="A178" s="47" t="s">
        <v>221</v>
      </c>
      <c r="B178" s="48">
        <v>59177</v>
      </c>
      <c r="C178" s="48">
        <v>345</v>
      </c>
      <c r="D178" s="48">
        <v>52510</v>
      </c>
      <c r="E178" s="48">
        <v>6322</v>
      </c>
      <c r="F178" s="48">
        <v>9902079</v>
      </c>
      <c r="G178" s="47" t="s">
        <v>26</v>
      </c>
      <c r="H178" s="49">
        <v>43859</v>
      </c>
      <c r="I178" s="70">
        <f t="shared" si="6"/>
        <v>5.8299677239468037E-3</v>
      </c>
      <c r="J178" s="70">
        <f t="shared" si="7"/>
        <v>0.88733798604187442</v>
      </c>
      <c r="K178" s="70">
        <f t="shared" si="8"/>
        <v>5.9762197413290681E-3</v>
      </c>
      <c r="L178" t="str" cm="1">
        <f t="array" ref="L178">_xlfn.IFS(I178&gt;5%,"HIGH RISK",I178&lt;2%,"LOW RISK",OR(I178&gt;2%,I178&lt;5%),"MODERATE RISK")</f>
        <v>LOW RISK</v>
      </c>
      <c r="M178" t="str" cm="1">
        <f t="array" ref="M178">_xlfn.IFS(I178&gt;5%,"HIGH RISK",AND(I178&gt;=2%,I178&lt;=5%),"MODERATE RISK",I178&lt;2%,"LOW RISK")</f>
        <v>LOW RISK</v>
      </c>
      <c r="N178" cm="1">
        <f t="array" ref="N178">_xlfn.IFS(M178="LOW RISK",1,M178="MODERATE RISK",2,M178="HIGH RISK",3)</f>
        <v>1</v>
      </c>
    </row>
    <row r="179" spans="1:14" x14ac:dyDescent="0.3">
      <c r="A179" s="50" t="s">
        <v>11</v>
      </c>
      <c r="B179" s="51">
        <v>301708</v>
      </c>
      <c r="C179" s="51">
        <v>45844</v>
      </c>
      <c r="D179" s="51">
        <v>1437</v>
      </c>
      <c r="E179" s="51">
        <v>254427</v>
      </c>
      <c r="F179" s="51">
        <v>67922029</v>
      </c>
      <c r="G179" s="50" t="s">
        <v>28</v>
      </c>
      <c r="H179" s="52">
        <v>43861</v>
      </c>
      <c r="I179" s="70">
        <f t="shared" si="6"/>
        <v>0.15194824134593712</v>
      </c>
      <c r="J179" s="70">
        <f t="shared" si="7"/>
        <v>4.7628833176448756E-3</v>
      </c>
      <c r="K179" s="70">
        <f t="shared" si="8"/>
        <v>4.4419756659507328E-3</v>
      </c>
      <c r="L179" t="str" cm="1">
        <f t="array" ref="L179">_xlfn.IFS(I179&gt;5%,"HIGH RISK",I179&lt;2%,"LOW RISK",OR(I179&gt;2%,I179&lt;5%),"MODERATE RISK")</f>
        <v>HIGH RISK</v>
      </c>
      <c r="M179" t="str" cm="1">
        <f t="array" ref="M179">_xlfn.IFS(I179&gt;5%,"HIGH RISK",AND(I179&gt;=2%,I179&lt;=5%),"MODERATE RISK",I179&lt;2%,"LOW RISK")</f>
        <v>HIGH RISK</v>
      </c>
      <c r="N179" cm="1">
        <f t="array" ref="N179">_xlfn.IFS(M179="LOW RISK",1,M179="MODERATE RISK",2,M179="HIGH RISK",3)</f>
        <v>3</v>
      </c>
    </row>
    <row r="180" spans="1:14" x14ac:dyDescent="0.3">
      <c r="A180" s="47" t="s">
        <v>222</v>
      </c>
      <c r="B180" s="48">
        <v>1202</v>
      </c>
      <c r="C180" s="48">
        <v>35</v>
      </c>
      <c r="D180" s="48">
        <v>951</v>
      </c>
      <c r="E180" s="48">
        <v>216</v>
      </c>
      <c r="F180" s="48">
        <v>3474956</v>
      </c>
      <c r="G180" s="47" t="s">
        <v>30</v>
      </c>
      <c r="H180" s="49">
        <v>43903</v>
      </c>
      <c r="I180" s="70">
        <f t="shared" si="6"/>
        <v>2.9118136439267885E-2</v>
      </c>
      <c r="J180" s="70">
        <f t="shared" si="7"/>
        <v>0.79118136439267883</v>
      </c>
      <c r="K180" s="70">
        <f t="shared" si="8"/>
        <v>3.4590366036289381E-4</v>
      </c>
      <c r="L180" t="str" cm="1">
        <f t="array" ref="L180">_xlfn.IFS(I180&gt;5%,"HIGH RISK",I180&lt;2%,"LOW RISK",OR(I180&gt;2%,I180&lt;5%),"MODERATE RISK")</f>
        <v>MODERATE RISK</v>
      </c>
      <c r="M180" t="str" cm="1">
        <f t="array" ref="M180">_xlfn.IFS(I180&gt;5%,"HIGH RISK",AND(I180&gt;=2%,I180&lt;=5%),"MODERATE RISK",I180&lt;2%,"LOW RISK")</f>
        <v>MODERATE RISK</v>
      </c>
      <c r="N180" cm="1">
        <f t="array" ref="N180">_xlfn.IFS(M180="LOW RISK",1,M180="MODERATE RISK",2,M180="HIGH RISK",3)</f>
        <v>2</v>
      </c>
    </row>
    <row r="181" spans="1:14" x14ac:dyDescent="0.3">
      <c r="A181" s="50" t="s">
        <v>223</v>
      </c>
      <c r="B181" s="51">
        <v>21209</v>
      </c>
      <c r="C181" s="51">
        <v>121</v>
      </c>
      <c r="D181" s="51">
        <v>11674</v>
      </c>
      <c r="E181" s="51">
        <v>9414</v>
      </c>
      <c r="F181" s="51">
        <v>33516027</v>
      </c>
      <c r="G181" s="50" t="s">
        <v>26</v>
      </c>
      <c r="H181" s="52">
        <v>43905</v>
      </c>
      <c r="I181" s="70">
        <f t="shared" si="6"/>
        <v>5.7051251827054551E-3</v>
      </c>
      <c r="J181" s="70">
        <f t="shared" si="7"/>
        <v>0.55042670564383045</v>
      </c>
      <c r="K181" s="70">
        <f t="shared" si="8"/>
        <v>6.3280173392866643E-4</v>
      </c>
      <c r="L181" t="str" cm="1">
        <f t="array" ref="L181">_xlfn.IFS(I181&gt;5%,"HIGH RISK",I181&lt;2%,"LOW RISK",OR(I181&gt;2%,I181&lt;5%),"MODERATE RISK")</f>
        <v>LOW RISK</v>
      </c>
      <c r="M181" t="str" cm="1">
        <f t="array" ref="M181">_xlfn.IFS(I181&gt;5%,"HIGH RISK",AND(I181&gt;=2%,I181&lt;=5%),"MODERATE RISK",I181&lt;2%,"LOW RISK")</f>
        <v>LOW RISK</v>
      </c>
      <c r="N181" cm="1">
        <f t="array" ref="N181">_xlfn.IFS(M181="LOW RISK",1,M181="MODERATE RISK",2,M181="HIGH RISK",3)</f>
        <v>1</v>
      </c>
    </row>
    <row r="182" spans="1:14" x14ac:dyDescent="0.3">
      <c r="A182" s="47" t="s">
        <v>224</v>
      </c>
      <c r="B182" s="48">
        <v>15988</v>
      </c>
      <c r="C182" s="48">
        <v>146</v>
      </c>
      <c r="D182" s="48">
        <v>9959</v>
      </c>
      <c r="E182" s="48">
        <v>5883</v>
      </c>
      <c r="F182" s="48">
        <v>28427499</v>
      </c>
      <c r="G182" s="47" t="s">
        <v>30</v>
      </c>
      <c r="H182" s="49">
        <v>43903</v>
      </c>
      <c r="I182" s="70">
        <f t="shared" si="6"/>
        <v>9.1318488866649981E-3</v>
      </c>
      <c r="J182" s="70">
        <f t="shared" si="7"/>
        <v>0.62290467850888165</v>
      </c>
      <c r="K182" s="70">
        <f t="shared" si="8"/>
        <v>5.624131760588577E-4</v>
      </c>
      <c r="L182" t="str" cm="1">
        <f t="array" ref="L182">_xlfn.IFS(I182&gt;5%,"HIGH RISK",I182&lt;2%,"LOW RISK",OR(I182&gt;2%,I182&lt;5%),"MODERATE RISK")</f>
        <v>LOW RISK</v>
      </c>
      <c r="M182" t="str" cm="1">
        <f t="array" ref="M182">_xlfn.IFS(I182&gt;5%,"HIGH RISK",AND(I182&gt;=2%,I182&lt;=5%),"MODERATE RISK",I182&lt;2%,"LOW RISK")</f>
        <v>LOW RISK</v>
      </c>
      <c r="N182" cm="1">
        <f t="array" ref="N182">_xlfn.IFS(M182="LOW RISK",1,M182="MODERATE RISK",2,M182="HIGH RISK",3)</f>
        <v>1</v>
      </c>
    </row>
    <row r="183" spans="1:14" x14ac:dyDescent="0.3">
      <c r="A183" s="50" t="s">
        <v>225</v>
      </c>
      <c r="B183" s="51">
        <v>431</v>
      </c>
      <c r="C183" s="51">
        <v>0</v>
      </c>
      <c r="D183" s="51">
        <v>365</v>
      </c>
      <c r="E183" s="51">
        <v>66</v>
      </c>
      <c r="F183" s="51">
        <v>97425470</v>
      </c>
      <c r="G183" s="50" t="s">
        <v>26</v>
      </c>
      <c r="H183" s="52">
        <v>43853</v>
      </c>
      <c r="I183" s="70">
        <f t="shared" si="6"/>
        <v>0</v>
      </c>
      <c r="J183" s="70">
        <f t="shared" si="7"/>
        <v>0.84686774941995357</v>
      </c>
      <c r="K183" s="70">
        <f t="shared" si="8"/>
        <v>4.4238944908348918E-6</v>
      </c>
      <c r="L183" t="str" cm="1">
        <f t="array" ref="L183">_xlfn.IFS(I183&gt;5%,"HIGH RISK",I183&lt;2%,"LOW RISK",OR(I183&gt;2%,I183&lt;5%),"MODERATE RISK")</f>
        <v>LOW RISK</v>
      </c>
      <c r="M183" t="str" cm="1">
        <f t="array" ref="M183">_xlfn.IFS(I183&gt;5%,"HIGH RISK",AND(I183&gt;=2%,I183&lt;=5%),"MODERATE RISK",I183&lt;2%,"LOW RISK")</f>
        <v>LOW RISK</v>
      </c>
      <c r="N183" cm="1">
        <f t="array" ref="N183">_xlfn.IFS(M183="LOW RISK",1,M183="MODERATE RISK",2,M183="HIGH RISK",3)</f>
        <v>1</v>
      </c>
    </row>
    <row r="184" spans="1:14" x14ac:dyDescent="0.3">
      <c r="A184" s="47" t="s">
        <v>226</v>
      </c>
      <c r="B184" s="48">
        <v>10621</v>
      </c>
      <c r="C184" s="48">
        <v>78</v>
      </c>
      <c r="D184" s="48">
        <v>3752</v>
      </c>
      <c r="E184" s="48">
        <v>6791</v>
      </c>
      <c r="F184" s="53">
        <v>4800000</v>
      </c>
      <c r="G184" s="47" t="s">
        <v>26</v>
      </c>
      <c r="H184" s="49">
        <v>43895</v>
      </c>
      <c r="I184" s="70">
        <f t="shared" si="6"/>
        <v>7.3439412484700125E-3</v>
      </c>
      <c r="J184" s="70">
        <f t="shared" si="7"/>
        <v>0.35326240466999342</v>
      </c>
      <c r="K184" s="70">
        <f t="shared" si="8"/>
        <v>2.2127083333333335E-3</v>
      </c>
      <c r="L184" t="str" cm="1">
        <f t="array" ref="L184">_xlfn.IFS(I184&gt;5%,"HIGH RISK",I184&lt;2%,"LOW RISK",OR(I184&gt;2%,I184&lt;5%),"MODERATE RISK")</f>
        <v>LOW RISK</v>
      </c>
      <c r="M184" t="str" cm="1">
        <f t="array" ref="M184">_xlfn.IFS(I184&gt;5%,"HIGH RISK",AND(I184&gt;=2%,I184&lt;=5%),"MODERATE RISK",I184&lt;2%,"LOW RISK")</f>
        <v>LOW RISK</v>
      </c>
      <c r="N184" cm="1">
        <f t="array" ref="N184">_xlfn.IFS(M184="LOW RISK",1,M184="MODERATE RISK",2,M184="HIGH RISK",3)</f>
        <v>1</v>
      </c>
    </row>
    <row r="185" spans="1:14" x14ac:dyDescent="0.3">
      <c r="A185" s="50" t="s">
        <v>227</v>
      </c>
      <c r="B185" s="51">
        <v>10</v>
      </c>
      <c r="C185" s="51">
        <v>1</v>
      </c>
      <c r="D185" s="51">
        <v>8</v>
      </c>
      <c r="E185" s="51">
        <v>1</v>
      </c>
      <c r="F185" s="51">
        <v>598682</v>
      </c>
      <c r="G185" s="50" t="s">
        <v>25</v>
      </c>
      <c r="H185" s="52">
        <v>43925</v>
      </c>
      <c r="I185" s="70">
        <f t="shared" si="6"/>
        <v>0.1</v>
      </c>
      <c r="J185" s="70">
        <f t="shared" si="7"/>
        <v>0.8</v>
      </c>
      <c r="K185" s="70">
        <f t="shared" si="8"/>
        <v>1.6703358377235327E-5</v>
      </c>
      <c r="L185" t="str" cm="1">
        <f t="array" ref="L185">_xlfn.IFS(I185&gt;5%,"HIGH RISK",I185&lt;2%,"LOW RISK",OR(I185&gt;2%,I185&lt;5%),"MODERATE RISK")</f>
        <v>HIGH RISK</v>
      </c>
      <c r="M185" t="str" cm="1">
        <f t="array" ref="M185">_xlfn.IFS(I185&gt;5%,"HIGH RISK",AND(I185&gt;=2%,I185&lt;=5%),"MODERATE RISK",I185&lt;2%,"LOW RISK")</f>
        <v>HIGH RISK</v>
      </c>
      <c r="N185" cm="1">
        <f t="array" ref="N185">_xlfn.IFS(M185="LOW RISK",1,M185="MODERATE RISK",2,M185="HIGH RISK",3)</f>
        <v>3</v>
      </c>
    </row>
    <row r="186" spans="1:14" x14ac:dyDescent="0.3">
      <c r="A186" s="47" t="s">
        <v>228</v>
      </c>
      <c r="B186" s="48">
        <v>1691</v>
      </c>
      <c r="C186" s="48">
        <v>483</v>
      </c>
      <c r="D186" s="48">
        <v>833</v>
      </c>
      <c r="E186" s="48">
        <v>375</v>
      </c>
      <c r="F186" s="48">
        <v>29886897</v>
      </c>
      <c r="G186" s="47" t="s">
        <v>26</v>
      </c>
      <c r="H186" s="49">
        <v>43931</v>
      </c>
      <c r="I186" s="70">
        <f t="shared" si="6"/>
        <v>0.28562980484920164</v>
      </c>
      <c r="J186" s="70">
        <f t="shared" si="7"/>
        <v>0.49260792430514488</v>
      </c>
      <c r="K186" s="70">
        <f t="shared" si="8"/>
        <v>5.6579978844909859E-5</v>
      </c>
      <c r="L186" t="str" cm="1">
        <f t="array" ref="L186">_xlfn.IFS(I186&gt;5%,"HIGH RISK",I186&lt;2%,"LOW RISK",OR(I186&gt;2%,I186&lt;5%),"MODERATE RISK")</f>
        <v>HIGH RISK</v>
      </c>
      <c r="M186" t="str" cm="1">
        <f t="array" ref="M186">_xlfn.IFS(I186&gt;5%,"HIGH RISK",AND(I186&gt;=2%,I186&lt;=5%),"MODERATE RISK",I186&lt;2%,"LOW RISK")</f>
        <v>HIGH RISK</v>
      </c>
      <c r="N186" cm="1">
        <f t="array" ref="N186">_xlfn.IFS(M186="LOW RISK",1,M186="MODERATE RISK",2,M186="HIGH RISK",3)</f>
        <v>3</v>
      </c>
    </row>
    <row r="187" spans="1:14" x14ac:dyDescent="0.3">
      <c r="A187" s="50" t="s">
        <v>229</v>
      </c>
      <c r="B187" s="51">
        <v>4552</v>
      </c>
      <c r="C187" s="51">
        <v>140</v>
      </c>
      <c r="D187" s="51">
        <v>2815</v>
      </c>
      <c r="E187" s="51">
        <v>1597</v>
      </c>
      <c r="F187" s="51">
        <v>18430129</v>
      </c>
      <c r="G187" s="50" t="s">
        <v>25</v>
      </c>
      <c r="H187" s="52">
        <v>43908</v>
      </c>
      <c r="I187" s="70">
        <f t="shared" si="6"/>
        <v>3.0755711775043937E-2</v>
      </c>
      <c r="J187" s="70">
        <f t="shared" si="7"/>
        <v>0.61840949033391912</v>
      </c>
      <c r="K187" s="70">
        <f t="shared" si="8"/>
        <v>2.4698687676033088E-4</v>
      </c>
      <c r="L187" t="str" cm="1">
        <f t="array" ref="L187">_xlfn.IFS(I187&gt;5%,"HIGH RISK",I187&lt;2%,"LOW RISK",OR(I187&gt;2%,I187&lt;5%),"MODERATE RISK")</f>
        <v>MODERATE RISK</v>
      </c>
      <c r="M187" t="str" cm="1">
        <f t="array" ref="M187">_xlfn.IFS(I187&gt;5%,"HIGH RISK",AND(I187&gt;=2%,I187&lt;=5%),"MODERATE RISK",I187&lt;2%,"LOW RISK")</f>
        <v>MODERATE RISK</v>
      </c>
      <c r="N187" cm="1">
        <f t="array" ref="N187">_xlfn.IFS(M187="LOW RISK",1,M187="MODERATE RISK",2,M187="HIGH RISK",3)</f>
        <v>2</v>
      </c>
    </row>
    <row r="188" spans="1:14" x14ac:dyDescent="0.3">
      <c r="A188" s="56" t="s">
        <v>230</v>
      </c>
      <c r="B188" s="57">
        <v>2704</v>
      </c>
      <c r="C188" s="57">
        <v>36</v>
      </c>
      <c r="D188" s="57">
        <v>542</v>
      </c>
      <c r="E188" s="57">
        <v>2126</v>
      </c>
      <c r="F188" s="57">
        <v>14883803</v>
      </c>
      <c r="G188" s="56" t="s">
        <v>25</v>
      </c>
      <c r="H188" s="58">
        <v>43911</v>
      </c>
      <c r="I188" s="70">
        <f t="shared" si="6"/>
        <v>1.3313609467455622E-2</v>
      </c>
      <c r="J188" s="70">
        <f t="shared" si="7"/>
        <v>0.20044378698224852</v>
      </c>
      <c r="K188" s="70">
        <f t="shared" si="8"/>
        <v>1.8167399823821909E-4</v>
      </c>
      <c r="L188" t="str" cm="1">
        <f t="array" ref="L188">_xlfn.IFS(I188&gt;5%,"HIGH RISK",I188&lt;2%,"LOW RISK",OR(I188&gt;2%,I188&lt;5%),"MODERATE RISK")</f>
        <v>LOW RISK</v>
      </c>
      <c r="M188" t="str" cm="1">
        <f t="array" ref="M188">_xlfn.IFS(I188&gt;5%,"HIGH RISK",AND(I188&gt;=2%,I188&lt;=5%),"MODERATE RISK",I188&lt;2%,"LOW RISK")</f>
        <v>LOW RISK</v>
      </c>
      <c r="N188" cm="1">
        <f t="array" ref="N188">_xlfn.IFS(M188="LOW RISK",1,M188="MODERATE RISK",2,M188="HIGH RISK",3)</f>
        <v>1</v>
      </c>
    </row>
  </sheetData>
  <autoFilter ref="A1:H188" xr:uid="{E6761749-D2BF-4BCB-8670-DD512CCAAEFD}"/>
  <conditionalFormatting sqref="I2:I188">
    <cfRule type="cellIs" dxfId="7" priority="6" operator="greaterThan">
      <formula>0.05</formula>
    </cfRule>
  </conditionalFormatting>
  <conditionalFormatting sqref="J2:J18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88">
    <cfRule type="iconSet" priority="2">
      <iconSet iconSet="3Arrows">
        <cfvo type="percent" val="0"/>
        <cfvo type="percent" val="33"/>
        <cfvo type="percent" val="67"/>
      </iconSet>
    </cfRule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{121AD39C-D2BC-4A0A-9C98-3AC8070DF9C6}</x14:id>
        </ext>
      </extLst>
    </cfRule>
  </conditionalFormatting>
  <conditionalFormatting sqref="L2:L18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188">
    <cfRule type="iconSet" priority="1">
      <iconSet iconSet="3Arrows" showValue="0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O1" xr:uid="{7D37A948-E9E1-4B9E-8765-7EC4A439FDC1}">
      <formula1>$A$2:$A$188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1AD39C-D2BC-4A0A-9C98-3AC8070DF9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K2:K188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5178C-B6AC-4046-B979-FF3BF8F71706}">
  <dimension ref="A1:GF18"/>
  <sheetViews>
    <sheetView workbookViewId="0">
      <selection activeCell="B18" sqref="B18"/>
    </sheetView>
  </sheetViews>
  <sheetFormatPr defaultRowHeight="14.4" x14ac:dyDescent="0.3"/>
  <cols>
    <col min="1" max="1" width="28.5546875" bestFit="1" customWidth="1"/>
    <col min="2" max="4" width="14.5546875" bestFit="1" customWidth="1"/>
    <col min="5" max="5" width="10.6640625" bestFit="1" customWidth="1"/>
    <col min="6" max="6" width="14.5546875" bestFit="1" customWidth="1"/>
    <col min="7" max="7" width="19.33203125" bestFit="1" customWidth="1"/>
    <col min="8" max="8" width="14.33203125" bestFit="1" customWidth="1"/>
    <col min="9" max="9" width="10.6640625" bestFit="1" customWidth="1"/>
    <col min="10" max="10" width="17" bestFit="1" customWidth="1"/>
    <col min="11" max="11" width="14.5546875" bestFit="1" customWidth="1"/>
    <col min="12" max="12" width="11.33203125" bestFit="1" customWidth="1"/>
    <col min="13" max="13" width="14.5546875" bestFit="1" customWidth="1"/>
    <col min="14" max="14" width="11.33203125" bestFit="1" customWidth="1"/>
    <col min="15" max="15" width="11.5546875" bestFit="1" customWidth="1"/>
    <col min="16" max="16" width="14.33203125" bestFit="1" customWidth="1"/>
    <col min="17" max="17" width="11.33203125" bestFit="1" customWidth="1"/>
    <col min="18" max="18" width="10.33203125" bestFit="1" customWidth="1"/>
    <col min="19" max="19" width="14.5546875" bestFit="1" customWidth="1"/>
    <col min="20" max="20" width="11.6640625" bestFit="1" customWidth="1"/>
    <col min="21" max="21" width="10.6640625" bestFit="1" customWidth="1"/>
    <col min="22" max="22" width="14.5546875" bestFit="1" customWidth="1"/>
    <col min="23" max="23" width="22" bestFit="1" customWidth="1"/>
    <col min="24" max="24" width="11.6640625" bestFit="1" customWidth="1"/>
    <col min="25" max="28" width="14.5546875" bestFit="1" customWidth="1"/>
    <col min="29" max="31" width="11.6640625" bestFit="1" customWidth="1"/>
    <col min="32" max="32" width="11" bestFit="1" customWidth="1"/>
    <col min="33" max="33" width="14.5546875" bestFit="1" customWidth="1"/>
    <col min="34" max="34" width="14.33203125" bestFit="1" customWidth="1"/>
    <col min="35" max="35" width="22.109375" bestFit="1" customWidth="1"/>
    <col min="36" max="36" width="11.6640625" bestFit="1" customWidth="1"/>
    <col min="37" max="37" width="14.5546875" bestFit="1" customWidth="1"/>
    <col min="38" max="38" width="11.6640625" bestFit="1" customWidth="1"/>
    <col min="39" max="39" width="14.5546875" bestFit="1" customWidth="1"/>
    <col min="40" max="40" width="11.109375" bestFit="1" customWidth="1"/>
    <col min="41" max="41" width="17.88671875" bestFit="1" customWidth="1"/>
    <col min="42" max="42" width="16.33203125" bestFit="1" customWidth="1"/>
    <col min="43" max="43" width="14.33203125" bestFit="1" customWidth="1"/>
    <col min="44" max="44" width="12.6640625" bestFit="1" customWidth="1"/>
    <col min="45" max="46" width="14.5546875" bestFit="1" customWidth="1"/>
    <col min="47" max="47" width="10.6640625" bestFit="1" customWidth="1"/>
    <col min="48" max="49" width="14.5546875" bestFit="1" customWidth="1"/>
    <col min="50" max="50" width="11.6640625" bestFit="1" customWidth="1"/>
    <col min="51" max="51" width="14.33203125" bestFit="1" customWidth="1"/>
    <col min="52" max="52" width="18.5546875" bestFit="1" customWidth="1"/>
    <col min="53" max="53" width="14.33203125" bestFit="1" customWidth="1"/>
    <col min="54" max="54" width="11.33203125" bestFit="1" customWidth="1"/>
    <col min="55" max="55" width="14.5546875" bestFit="1" customWidth="1"/>
    <col min="56" max="56" width="16.88671875" bestFit="1" customWidth="1"/>
    <col min="57" max="57" width="11.6640625" bestFit="1" customWidth="1"/>
    <col min="58" max="58" width="14.5546875" bestFit="1" customWidth="1"/>
    <col min="59" max="60" width="11.6640625" bestFit="1" customWidth="1"/>
    <col min="61" max="61" width="17" bestFit="1" customWidth="1"/>
    <col min="62" max="62" width="14.5546875" bestFit="1" customWidth="1"/>
    <col min="63" max="63" width="11.44140625" bestFit="1" customWidth="1"/>
    <col min="64" max="64" width="11.6640625" bestFit="1" customWidth="1"/>
    <col min="65" max="65" width="14.5546875" bestFit="1" customWidth="1"/>
    <col min="66" max="66" width="11.33203125" bestFit="1" customWidth="1"/>
    <col min="67" max="67" width="14.5546875" bestFit="1" customWidth="1"/>
    <col min="68" max="68" width="11.6640625" bestFit="1" customWidth="1"/>
    <col min="69" max="69" width="14.5546875" bestFit="1" customWidth="1"/>
    <col min="70" max="71" width="14.33203125" bestFit="1" customWidth="1"/>
    <col min="72" max="72" width="14.5546875" bestFit="1" customWidth="1"/>
    <col min="73" max="73" width="11.6640625" bestFit="1" customWidth="1"/>
    <col min="74" max="74" width="13.88671875" bestFit="1" customWidth="1"/>
    <col min="75" max="75" width="14.33203125" bestFit="1" customWidth="1"/>
    <col min="76" max="76" width="14.5546875" bestFit="1" customWidth="1"/>
    <col min="77" max="77" width="11.6640625" bestFit="1" customWidth="1"/>
    <col min="78" max="78" width="14.5546875" bestFit="1" customWidth="1"/>
    <col min="79" max="79" width="10.6640625" bestFit="1" customWidth="1"/>
    <col min="80" max="80" width="11.33203125" bestFit="1" customWidth="1"/>
    <col min="81" max="82" width="14.5546875" bestFit="1" customWidth="1"/>
    <col min="83" max="83" width="11.33203125" bestFit="1" customWidth="1"/>
    <col min="84" max="84" width="14.5546875" bestFit="1" customWidth="1"/>
    <col min="85" max="86" width="11.33203125" bestFit="1" customWidth="1"/>
    <col min="87" max="87" width="11" bestFit="1" customWidth="1"/>
    <col min="88" max="88" width="14.33203125" bestFit="1" customWidth="1"/>
    <col min="89" max="89" width="14.5546875" bestFit="1" customWidth="1"/>
    <col min="90" max="90" width="10.6640625" bestFit="1" customWidth="1"/>
    <col min="91" max="92" width="11.6640625" bestFit="1" customWidth="1"/>
    <col min="93" max="93" width="14.5546875" bestFit="1" customWidth="1"/>
    <col min="94" max="94" width="11.33203125" bestFit="1" customWidth="1"/>
    <col min="95" max="95" width="14.5546875" bestFit="1" customWidth="1"/>
    <col min="96" max="96" width="11.6640625" bestFit="1" customWidth="1"/>
    <col min="97" max="97" width="14.5546875" bestFit="1" customWidth="1"/>
    <col min="98" max="98" width="11.33203125" bestFit="1" customWidth="1"/>
    <col min="99" max="99" width="14.5546875" bestFit="1" customWidth="1"/>
    <col min="100" max="100" width="11.6640625" bestFit="1" customWidth="1"/>
    <col min="101" max="101" width="14.5546875" bestFit="1" customWidth="1"/>
    <col min="102" max="102" width="13.33203125" bestFit="1" customWidth="1"/>
    <col min="103" max="103" width="14.5546875" bestFit="1" customWidth="1"/>
    <col min="104" max="105" width="12.33203125" bestFit="1" customWidth="1"/>
    <col min="106" max="106" width="14.5546875" bestFit="1" customWidth="1"/>
    <col min="107" max="107" width="11" bestFit="1" customWidth="1"/>
    <col min="108" max="108" width="10.6640625" bestFit="1" customWidth="1"/>
    <col min="109" max="109" width="14.5546875" bestFit="1" customWidth="1"/>
    <col min="110" max="110" width="10.6640625" bestFit="1" customWidth="1"/>
    <col min="111" max="112" width="14.5546875" bestFit="1" customWidth="1"/>
    <col min="113" max="113" width="14.33203125" bestFit="1" customWidth="1"/>
    <col min="114" max="115" width="14.5546875" bestFit="1" customWidth="1"/>
    <col min="116" max="116" width="11.6640625" bestFit="1" customWidth="1"/>
    <col min="117" max="117" width="12.44140625" bestFit="1" customWidth="1"/>
    <col min="118" max="118" width="10.6640625" bestFit="1" customWidth="1"/>
    <col min="119" max="119" width="12.88671875" bestFit="1" customWidth="1"/>
    <col min="120" max="120" width="11.6640625" bestFit="1" customWidth="1"/>
    <col min="121" max="121" width="11" bestFit="1" customWidth="1"/>
    <col min="122" max="122" width="12.33203125" bestFit="1" customWidth="1"/>
    <col min="123" max="123" width="17" bestFit="1" customWidth="1"/>
    <col min="124" max="124" width="14.5546875" bestFit="1" customWidth="1"/>
    <col min="125" max="125" width="11.6640625" bestFit="1" customWidth="1"/>
    <col min="126" max="126" width="14.5546875" bestFit="1" customWidth="1"/>
    <col min="127" max="127" width="16.6640625" bestFit="1" customWidth="1"/>
    <col min="128" max="128" width="14.5546875" bestFit="1" customWidth="1"/>
    <col min="129" max="129" width="11.33203125" bestFit="1" customWidth="1"/>
    <col min="130" max="131" width="14.5546875" bestFit="1" customWidth="1"/>
    <col min="132" max="132" width="17.88671875" bestFit="1" customWidth="1"/>
    <col min="133" max="133" width="14.33203125" bestFit="1" customWidth="1"/>
    <col min="134" max="137" width="14.5546875" bestFit="1" customWidth="1"/>
    <col min="138" max="138" width="11.33203125" bestFit="1" customWidth="1"/>
    <col min="139" max="139" width="14.5546875" bestFit="1" customWidth="1"/>
    <col min="140" max="140" width="11" bestFit="1" customWidth="1"/>
    <col min="141" max="141" width="11.6640625" bestFit="1" customWidth="1"/>
    <col min="142" max="142" width="18.88671875" bestFit="1" customWidth="1"/>
    <col min="143" max="143" width="14.33203125" bestFit="1" customWidth="1"/>
    <col min="144" max="144" width="29.5546875" bestFit="1" customWidth="1"/>
    <col min="145" max="145" width="11.5546875" bestFit="1" customWidth="1"/>
    <col min="146" max="146" width="21" bestFit="1" customWidth="1"/>
    <col min="147" max="147" width="12.33203125" bestFit="1" customWidth="1"/>
    <col min="148" max="148" width="10.6640625" bestFit="1" customWidth="1"/>
    <col min="149" max="149" width="14.5546875" bestFit="1" customWidth="1"/>
    <col min="150" max="150" width="11.6640625" bestFit="1" customWidth="1"/>
    <col min="151" max="151" width="14.5546875" bestFit="1" customWidth="1"/>
    <col min="152" max="152" width="11" bestFit="1" customWidth="1"/>
    <col min="153" max="154" width="10.6640625" bestFit="1" customWidth="1"/>
    <col min="155" max="155" width="14.5546875" bestFit="1" customWidth="1"/>
    <col min="156" max="156" width="12.33203125" bestFit="1" customWidth="1"/>
    <col min="157" max="157" width="14.5546875" bestFit="1" customWidth="1"/>
    <col min="158" max="158" width="12.33203125" bestFit="1" customWidth="1"/>
    <col min="159" max="160" width="11" bestFit="1" customWidth="1"/>
    <col min="161" max="161" width="11.6640625" bestFit="1" customWidth="1"/>
    <col min="162" max="162" width="14.33203125" bestFit="1" customWidth="1"/>
    <col min="163" max="163" width="11" bestFit="1" customWidth="1"/>
    <col min="164" max="165" width="11.6640625" bestFit="1" customWidth="1"/>
    <col min="166" max="166" width="11" bestFit="1" customWidth="1"/>
    <col min="167" max="167" width="11.109375" bestFit="1" customWidth="1"/>
    <col min="168" max="168" width="14.5546875" bestFit="1" customWidth="1"/>
    <col min="169" max="169" width="11" bestFit="1" customWidth="1"/>
    <col min="170" max="170" width="12.109375" bestFit="1" customWidth="1"/>
    <col min="171" max="171" width="14.5546875" bestFit="1" customWidth="1"/>
    <col min="172" max="172" width="19.109375" bestFit="1" customWidth="1"/>
    <col min="173" max="175" width="14.5546875" bestFit="1" customWidth="1"/>
    <col min="176" max="176" width="11.6640625" bestFit="1" customWidth="1"/>
    <col min="177" max="177" width="14.5546875" bestFit="1" customWidth="1"/>
    <col min="178" max="178" width="19.6640625" bestFit="1" customWidth="1"/>
    <col min="179" max="179" width="15.33203125" bestFit="1" customWidth="1"/>
    <col min="180" max="180" width="14.5546875" bestFit="1" customWidth="1"/>
    <col min="181" max="181" width="11.6640625" bestFit="1" customWidth="1"/>
    <col min="182" max="182" width="14.33203125" bestFit="1" customWidth="1"/>
    <col min="183" max="183" width="11" bestFit="1" customWidth="1"/>
    <col min="184" max="184" width="19.109375" bestFit="1" customWidth="1"/>
    <col min="185" max="185" width="15.33203125" bestFit="1" customWidth="1"/>
    <col min="186" max="186" width="11.109375" bestFit="1" customWidth="1"/>
    <col min="187" max="187" width="14.5546875" bestFit="1" customWidth="1"/>
    <col min="188" max="188" width="11.6640625" bestFit="1" customWidth="1"/>
  </cols>
  <sheetData>
    <row r="1" spans="1:188" x14ac:dyDescent="0.3">
      <c r="A1" s="66" t="s">
        <v>32</v>
      </c>
      <c r="B1" s="47" t="s">
        <v>48</v>
      </c>
      <c r="C1" s="50" t="s">
        <v>55</v>
      </c>
      <c r="D1" s="47" t="s">
        <v>56</v>
      </c>
      <c r="E1" s="50" t="s">
        <v>57</v>
      </c>
      <c r="F1" s="47" t="s">
        <v>58</v>
      </c>
      <c r="G1" s="50" t="s">
        <v>59</v>
      </c>
      <c r="H1" s="47" t="s">
        <v>60</v>
      </c>
      <c r="I1" s="50" t="s">
        <v>61</v>
      </c>
      <c r="J1" s="47" t="s">
        <v>62</v>
      </c>
      <c r="K1" s="50" t="s">
        <v>63</v>
      </c>
      <c r="L1" s="47" t="s">
        <v>46</v>
      </c>
      <c r="M1" s="50" t="s">
        <v>64</v>
      </c>
      <c r="N1" s="47" t="s">
        <v>65</v>
      </c>
      <c r="O1" s="50" t="s">
        <v>66</v>
      </c>
      <c r="P1" s="47" t="s">
        <v>67</v>
      </c>
      <c r="Q1" s="50" t="s">
        <v>68</v>
      </c>
      <c r="R1" s="47" t="s">
        <v>69</v>
      </c>
      <c r="S1" s="50" t="s">
        <v>70</v>
      </c>
      <c r="T1" s="47" t="s">
        <v>71</v>
      </c>
      <c r="U1" s="50" t="s">
        <v>72</v>
      </c>
      <c r="V1" s="47" t="s">
        <v>73</v>
      </c>
      <c r="W1" s="50" t="s">
        <v>74</v>
      </c>
      <c r="X1" s="47" t="s">
        <v>75</v>
      </c>
      <c r="Y1" s="50" t="s">
        <v>3</v>
      </c>
      <c r="Z1" s="47" t="s">
        <v>76</v>
      </c>
      <c r="AA1" s="50" t="s">
        <v>77</v>
      </c>
      <c r="AB1" s="47" t="s">
        <v>78</v>
      </c>
      <c r="AC1" s="50" t="s">
        <v>79</v>
      </c>
      <c r="AD1" s="47" t="s">
        <v>80</v>
      </c>
      <c r="AE1" s="50" t="s">
        <v>81</v>
      </c>
      <c r="AF1" s="47" t="s">
        <v>82</v>
      </c>
      <c r="AG1" s="50" t="s">
        <v>83</v>
      </c>
      <c r="AH1" s="47" t="s">
        <v>84</v>
      </c>
      <c r="AI1" s="50" t="s">
        <v>85</v>
      </c>
      <c r="AJ1" s="47" t="s">
        <v>86</v>
      </c>
      <c r="AK1" s="50" t="s">
        <v>4</v>
      </c>
      <c r="AL1" s="47" t="s">
        <v>88</v>
      </c>
      <c r="AM1" s="50" t="s">
        <v>89</v>
      </c>
      <c r="AN1" s="47" t="s">
        <v>90</v>
      </c>
      <c r="AO1" s="50" t="s">
        <v>91</v>
      </c>
      <c r="AP1" s="47" t="s">
        <v>92</v>
      </c>
      <c r="AQ1" s="50" t="s">
        <v>93</v>
      </c>
      <c r="AR1" s="47" t="s">
        <v>94</v>
      </c>
      <c r="AS1" s="50" t="s">
        <v>95</v>
      </c>
      <c r="AT1" s="47" t="s">
        <v>96</v>
      </c>
      <c r="AU1" s="50" t="s">
        <v>97</v>
      </c>
      <c r="AV1" s="47" t="s">
        <v>98</v>
      </c>
      <c r="AW1" s="50" t="s">
        <v>99</v>
      </c>
      <c r="AX1" s="47" t="s">
        <v>100</v>
      </c>
      <c r="AY1" s="50" t="s">
        <v>101</v>
      </c>
      <c r="AZ1" s="47" t="s">
        <v>102</v>
      </c>
      <c r="BA1" s="50" t="s">
        <v>103</v>
      </c>
      <c r="BB1" s="47" t="s">
        <v>104</v>
      </c>
      <c r="BC1" s="50" t="s">
        <v>105</v>
      </c>
      <c r="BD1" s="47" t="s">
        <v>106</v>
      </c>
      <c r="BE1" s="50" t="s">
        <v>107</v>
      </c>
      <c r="BF1" s="47" t="s">
        <v>108</v>
      </c>
      <c r="BG1" s="50" t="s">
        <v>109</v>
      </c>
      <c r="BH1" s="47" t="s">
        <v>110</v>
      </c>
      <c r="BI1" s="50" t="s">
        <v>111</v>
      </c>
      <c r="BJ1" s="47" t="s">
        <v>112</v>
      </c>
      <c r="BK1" s="50" t="s">
        <v>113</v>
      </c>
      <c r="BL1" s="47" t="s">
        <v>114</v>
      </c>
      <c r="BM1" s="50" t="s">
        <v>115</v>
      </c>
      <c r="BN1" s="47" t="s">
        <v>116</v>
      </c>
      <c r="BO1" s="50" t="s">
        <v>117</v>
      </c>
      <c r="BP1" s="47" t="s">
        <v>118</v>
      </c>
      <c r="BQ1" s="50" t="s">
        <v>119</v>
      </c>
      <c r="BR1" s="47" t="s">
        <v>120</v>
      </c>
      <c r="BS1" s="50" t="s">
        <v>121</v>
      </c>
      <c r="BT1" s="47" t="s">
        <v>122</v>
      </c>
      <c r="BU1" s="50" t="s">
        <v>123</v>
      </c>
      <c r="BV1" s="47" t="s">
        <v>124</v>
      </c>
      <c r="BW1" s="50" t="s">
        <v>125</v>
      </c>
      <c r="BX1" s="47" t="s">
        <v>126</v>
      </c>
      <c r="BY1" s="50" t="s">
        <v>127</v>
      </c>
      <c r="BZ1" s="47" t="s">
        <v>128</v>
      </c>
      <c r="CA1" s="50" t="s">
        <v>129</v>
      </c>
      <c r="CB1" s="47" t="s">
        <v>130</v>
      </c>
      <c r="CC1" s="50" t="s">
        <v>5</v>
      </c>
      <c r="CD1" s="47" t="s">
        <v>131</v>
      </c>
      <c r="CE1" s="50" t="s">
        <v>6</v>
      </c>
      <c r="CF1" s="47" t="s">
        <v>132</v>
      </c>
      <c r="CG1" s="50" t="s">
        <v>133</v>
      </c>
      <c r="CH1" s="47" t="s">
        <v>134</v>
      </c>
      <c r="CI1" s="50" t="s">
        <v>135</v>
      </c>
      <c r="CJ1" s="47" t="s">
        <v>136</v>
      </c>
      <c r="CK1" s="50" t="s">
        <v>137</v>
      </c>
      <c r="CL1" s="47" t="s">
        <v>138</v>
      </c>
      <c r="CM1" s="50" t="s">
        <v>139</v>
      </c>
      <c r="CN1" s="47" t="s">
        <v>140</v>
      </c>
      <c r="CO1" s="50" t="s">
        <v>141</v>
      </c>
      <c r="CP1" s="47" t="s">
        <v>142</v>
      </c>
      <c r="CQ1" s="50" t="s">
        <v>143</v>
      </c>
      <c r="CR1" s="47" t="s">
        <v>144</v>
      </c>
      <c r="CS1" s="50" t="s">
        <v>145</v>
      </c>
      <c r="CT1" s="47" t="s">
        <v>146</v>
      </c>
      <c r="CU1" s="50" t="s">
        <v>147</v>
      </c>
      <c r="CV1" s="47" t="s">
        <v>148</v>
      </c>
      <c r="CW1" s="50" t="s">
        <v>149</v>
      </c>
      <c r="CX1" s="47" t="s">
        <v>150</v>
      </c>
      <c r="CY1" s="50" t="s">
        <v>151</v>
      </c>
      <c r="CZ1" s="47" t="s">
        <v>152</v>
      </c>
      <c r="DA1" s="50" t="s">
        <v>153</v>
      </c>
      <c r="DB1" s="47" t="s">
        <v>154</v>
      </c>
      <c r="DC1" s="50" t="s">
        <v>155</v>
      </c>
      <c r="DD1" s="47" t="s">
        <v>156</v>
      </c>
      <c r="DE1" s="50" t="s">
        <v>157</v>
      </c>
      <c r="DF1" s="47" t="s">
        <v>158</v>
      </c>
      <c r="DG1" s="50" t="s">
        <v>159</v>
      </c>
      <c r="DH1" s="47" t="s">
        <v>160</v>
      </c>
      <c r="DI1" s="50" t="s">
        <v>7</v>
      </c>
      <c r="DJ1" s="47" t="s">
        <v>161</v>
      </c>
      <c r="DK1" s="50" t="s">
        <v>162</v>
      </c>
      <c r="DL1" s="47" t="s">
        <v>163</v>
      </c>
      <c r="DM1" s="50" t="s">
        <v>164</v>
      </c>
      <c r="DN1" s="47" t="s">
        <v>165</v>
      </c>
      <c r="DO1" s="50" t="s">
        <v>166</v>
      </c>
      <c r="DP1" s="47" t="s">
        <v>167</v>
      </c>
      <c r="DQ1" s="50" t="s">
        <v>168</v>
      </c>
      <c r="DR1" s="47" t="s">
        <v>169</v>
      </c>
      <c r="DS1" s="50" t="s">
        <v>170</v>
      </c>
      <c r="DT1" s="47" t="s">
        <v>171</v>
      </c>
      <c r="DU1" s="50" t="s">
        <v>172</v>
      </c>
      <c r="DV1" s="47" t="s">
        <v>173</v>
      </c>
      <c r="DW1" s="50" t="s">
        <v>174</v>
      </c>
      <c r="DX1" s="47" t="s">
        <v>175</v>
      </c>
      <c r="DY1" s="50" t="s">
        <v>176</v>
      </c>
      <c r="DZ1" s="47" t="s">
        <v>177</v>
      </c>
      <c r="EA1" s="50" t="s">
        <v>178</v>
      </c>
      <c r="EB1" s="47" t="s">
        <v>179</v>
      </c>
      <c r="EC1" s="50" t="s">
        <v>180</v>
      </c>
      <c r="ED1" s="47" t="s">
        <v>8</v>
      </c>
      <c r="EE1" s="50" t="s">
        <v>181</v>
      </c>
      <c r="EF1" s="47" t="s">
        <v>182</v>
      </c>
      <c r="EG1" s="50" t="s">
        <v>183</v>
      </c>
      <c r="EH1" s="47" t="s">
        <v>184</v>
      </c>
      <c r="EI1" s="50" t="s">
        <v>185</v>
      </c>
      <c r="EJ1" s="47" t="s">
        <v>9</v>
      </c>
      <c r="EK1" s="50" t="s">
        <v>186</v>
      </c>
      <c r="EL1" s="47" t="s">
        <v>187</v>
      </c>
      <c r="EM1" s="50" t="s">
        <v>188</v>
      </c>
      <c r="EN1" s="47" t="s">
        <v>189</v>
      </c>
      <c r="EO1" s="50" t="s">
        <v>190</v>
      </c>
      <c r="EP1" s="47" t="s">
        <v>191</v>
      </c>
      <c r="EQ1" s="50" t="s">
        <v>192</v>
      </c>
      <c r="ER1" s="47" t="s">
        <v>193</v>
      </c>
      <c r="ES1" s="50" t="s">
        <v>194</v>
      </c>
      <c r="ET1" s="47" t="s">
        <v>195</v>
      </c>
      <c r="EU1" s="50" t="s">
        <v>196</v>
      </c>
      <c r="EV1" s="47" t="s">
        <v>197</v>
      </c>
      <c r="EW1" s="50" t="s">
        <v>198</v>
      </c>
      <c r="EX1" s="47" t="s">
        <v>199</v>
      </c>
      <c r="EY1" s="50" t="s">
        <v>200</v>
      </c>
      <c r="EZ1" s="47" t="s">
        <v>10</v>
      </c>
      <c r="FA1" s="50" t="s">
        <v>201</v>
      </c>
      <c r="FB1" s="47" t="s">
        <v>202</v>
      </c>
      <c r="FC1" s="50" t="s">
        <v>203</v>
      </c>
      <c r="FD1" s="47" t="s">
        <v>204</v>
      </c>
      <c r="FE1" s="50" t="s">
        <v>205</v>
      </c>
      <c r="FF1" s="47" t="s">
        <v>206</v>
      </c>
      <c r="FG1" s="50" t="s">
        <v>207</v>
      </c>
      <c r="FH1" s="47" t="s">
        <v>208</v>
      </c>
      <c r="FI1" s="50" t="s">
        <v>209</v>
      </c>
      <c r="FJ1" s="47" t="s">
        <v>210</v>
      </c>
      <c r="FK1" s="50" t="s">
        <v>211</v>
      </c>
      <c r="FL1" s="47" t="s">
        <v>212</v>
      </c>
      <c r="FM1" s="50" t="s">
        <v>213</v>
      </c>
      <c r="FN1" s="47" t="s">
        <v>214</v>
      </c>
      <c r="FO1" s="50" t="s">
        <v>215</v>
      </c>
      <c r="FP1" s="47" t="s">
        <v>216</v>
      </c>
      <c r="FQ1" s="50" t="s">
        <v>217</v>
      </c>
      <c r="FR1" s="47" t="s">
        <v>218</v>
      </c>
      <c r="FS1" s="50" t="s">
        <v>12</v>
      </c>
      <c r="FT1" s="47" t="s">
        <v>219</v>
      </c>
      <c r="FU1" s="50" t="s">
        <v>220</v>
      </c>
      <c r="FV1" s="47" t="s">
        <v>221</v>
      </c>
      <c r="FW1" s="50" t="s">
        <v>11</v>
      </c>
      <c r="FX1" s="47" t="s">
        <v>222</v>
      </c>
      <c r="FY1" s="50" t="s">
        <v>223</v>
      </c>
      <c r="FZ1" s="47" t="s">
        <v>224</v>
      </c>
      <c r="GA1" s="50" t="s">
        <v>225</v>
      </c>
      <c r="GB1" s="47" t="s">
        <v>226</v>
      </c>
      <c r="GC1" s="50" t="s">
        <v>227</v>
      </c>
      <c r="GD1" s="47" t="s">
        <v>228</v>
      </c>
      <c r="GE1" s="50" t="s">
        <v>229</v>
      </c>
      <c r="GF1" s="56" t="s">
        <v>230</v>
      </c>
    </row>
    <row r="2" spans="1:188" x14ac:dyDescent="0.3">
      <c r="A2" s="66" t="s">
        <v>33</v>
      </c>
      <c r="B2" s="48" t="s">
        <v>49</v>
      </c>
      <c r="C2" s="51">
        <v>4880</v>
      </c>
      <c r="D2" s="48">
        <v>27973</v>
      </c>
      <c r="E2" s="51">
        <v>907</v>
      </c>
      <c r="F2" s="48">
        <v>950</v>
      </c>
      <c r="G2" s="51">
        <v>86</v>
      </c>
      <c r="H2" s="48">
        <v>167416</v>
      </c>
      <c r="I2" s="51">
        <v>37390</v>
      </c>
      <c r="J2" s="48">
        <v>15303</v>
      </c>
      <c r="K2" s="51">
        <v>20558</v>
      </c>
      <c r="L2" s="48">
        <v>30446</v>
      </c>
      <c r="M2" s="51">
        <v>382</v>
      </c>
      <c r="N2" s="48">
        <v>39482</v>
      </c>
      <c r="O2" s="51">
        <v>226225</v>
      </c>
      <c r="P2" s="48">
        <v>110</v>
      </c>
      <c r="Q2" s="51">
        <v>67251</v>
      </c>
      <c r="R2" s="48">
        <v>66428</v>
      </c>
      <c r="S2" s="51">
        <v>48</v>
      </c>
      <c r="T2" s="48">
        <v>1770</v>
      </c>
      <c r="U2" s="51">
        <v>99</v>
      </c>
      <c r="V2" s="48">
        <v>71181</v>
      </c>
      <c r="W2" s="51">
        <v>10498</v>
      </c>
      <c r="X2" s="48">
        <v>739</v>
      </c>
      <c r="Y2" s="51">
        <v>2442375</v>
      </c>
      <c r="Z2" s="48">
        <v>141</v>
      </c>
      <c r="AA2" s="51">
        <v>10621</v>
      </c>
      <c r="AB2" s="48">
        <v>1100</v>
      </c>
      <c r="AC2" s="51">
        <v>350</v>
      </c>
      <c r="AD2" s="48">
        <v>378</v>
      </c>
      <c r="AE2" s="51">
        <v>2328</v>
      </c>
      <c r="AF2" s="48">
        <v>226</v>
      </c>
      <c r="AG2" s="51">
        <v>17110</v>
      </c>
      <c r="AH2" s="48">
        <v>116458</v>
      </c>
      <c r="AI2" s="51">
        <v>4599</v>
      </c>
      <c r="AJ2" s="48">
        <v>922</v>
      </c>
      <c r="AK2" s="51">
        <v>347923</v>
      </c>
      <c r="AL2" s="48">
        <v>86783</v>
      </c>
      <c r="AM2" s="51">
        <v>257101</v>
      </c>
      <c r="AN2" s="48">
        <v>354</v>
      </c>
      <c r="AO2" s="51">
        <v>3200</v>
      </c>
      <c r="AP2" s="48">
        <v>8844</v>
      </c>
      <c r="AQ2" s="51">
        <v>15841</v>
      </c>
      <c r="AR2" s="48">
        <v>15655</v>
      </c>
      <c r="AS2" s="51">
        <v>4881</v>
      </c>
      <c r="AT2" s="48">
        <v>2532</v>
      </c>
      <c r="AU2" s="51">
        <v>1060</v>
      </c>
      <c r="AV2" s="48">
        <v>15516</v>
      </c>
      <c r="AW2" s="51">
        <v>13761</v>
      </c>
      <c r="AX2" s="48">
        <v>5059</v>
      </c>
      <c r="AY2" s="51">
        <v>18</v>
      </c>
      <c r="AZ2" s="48">
        <v>64156</v>
      </c>
      <c r="BA2" s="51">
        <v>81161</v>
      </c>
      <c r="BB2" s="48">
        <v>92482</v>
      </c>
      <c r="BC2" s="51">
        <v>15035</v>
      </c>
      <c r="BD2" s="48">
        <v>3071</v>
      </c>
      <c r="BE2" s="51">
        <v>265</v>
      </c>
      <c r="BF2" s="48">
        <v>2034</v>
      </c>
      <c r="BG2" s="51">
        <v>2316</v>
      </c>
      <c r="BH2" s="48">
        <v>14547</v>
      </c>
      <c r="BI2" s="51">
        <v>27</v>
      </c>
      <c r="BJ2" s="48">
        <v>7398</v>
      </c>
      <c r="BK2" s="51">
        <v>220352</v>
      </c>
      <c r="BL2" s="48">
        <v>7189</v>
      </c>
      <c r="BM2" s="51">
        <v>326</v>
      </c>
      <c r="BN2" s="48">
        <v>1137</v>
      </c>
      <c r="BO2" s="51">
        <v>207112</v>
      </c>
      <c r="BP2" s="48">
        <v>33624</v>
      </c>
      <c r="BQ2" s="51">
        <v>4227</v>
      </c>
      <c r="BR2" s="48">
        <v>14</v>
      </c>
      <c r="BS2" s="51">
        <v>23</v>
      </c>
      <c r="BT2" s="48">
        <v>45309</v>
      </c>
      <c r="BU2" s="51">
        <v>7055</v>
      </c>
      <c r="BV2" s="48">
        <v>1954</v>
      </c>
      <c r="BW2" s="51">
        <v>389</v>
      </c>
      <c r="BX2" s="48">
        <v>7340</v>
      </c>
      <c r="BY2" s="51">
        <v>12</v>
      </c>
      <c r="BZ2" s="48">
        <v>39741</v>
      </c>
      <c r="CA2" s="51">
        <v>4448</v>
      </c>
      <c r="CB2" s="48">
        <v>1854</v>
      </c>
      <c r="CC2" s="51">
        <v>1480073</v>
      </c>
      <c r="CD2" s="48">
        <v>100303</v>
      </c>
      <c r="CE2" s="51">
        <v>293606</v>
      </c>
      <c r="CF2" s="48">
        <v>112585</v>
      </c>
      <c r="CG2" s="51">
        <v>25892</v>
      </c>
      <c r="CH2" s="48">
        <v>63985</v>
      </c>
      <c r="CI2" s="51">
        <v>246286</v>
      </c>
      <c r="CJ2" s="48">
        <v>853</v>
      </c>
      <c r="CK2" s="51">
        <v>31142</v>
      </c>
      <c r="CL2" s="48">
        <v>1176</v>
      </c>
      <c r="CM2" s="51">
        <v>84648</v>
      </c>
      <c r="CN2" s="48">
        <v>17975</v>
      </c>
      <c r="CO2" s="51">
        <v>7413</v>
      </c>
      <c r="CP2" s="48">
        <v>64379</v>
      </c>
      <c r="CQ2" s="51">
        <v>33296</v>
      </c>
      <c r="CR2" s="48">
        <v>20</v>
      </c>
      <c r="CS2" s="51">
        <v>1219</v>
      </c>
      <c r="CT2" s="48">
        <v>3882</v>
      </c>
      <c r="CU2" s="51">
        <v>505</v>
      </c>
      <c r="CV2" s="48">
        <v>1167</v>
      </c>
      <c r="CW2" s="51">
        <v>2827</v>
      </c>
      <c r="CX2" s="48">
        <v>86</v>
      </c>
      <c r="CY2" s="51">
        <v>2019</v>
      </c>
      <c r="CZ2" s="48">
        <v>6321</v>
      </c>
      <c r="DA2" s="51">
        <v>9690</v>
      </c>
      <c r="DB2" s="48">
        <v>3664</v>
      </c>
      <c r="DC2" s="51">
        <v>8904</v>
      </c>
      <c r="DD2" s="48">
        <v>3369</v>
      </c>
      <c r="DE2" s="51">
        <v>2513</v>
      </c>
      <c r="DF2" s="48">
        <v>701</v>
      </c>
      <c r="DG2" s="51">
        <v>6208</v>
      </c>
      <c r="DH2" s="48">
        <v>344</v>
      </c>
      <c r="DI2" s="51">
        <v>395489</v>
      </c>
      <c r="DJ2" s="48">
        <v>23154</v>
      </c>
      <c r="DK2" s="51">
        <v>116</v>
      </c>
      <c r="DL2" s="48">
        <v>289</v>
      </c>
      <c r="DM2" s="51">
        <v>2893</v>
      </c>
      <c r="DN2" s="48">
        <v>20887</v>
      </c>
      <c r="DO2" s="51">
        <v>1701</v>
      </c>
      <c r="DP2" s="48">
        <v>1843</v>
      </c>
      <c r="DQ2" s="51">
        <v>18752</v>
      </c>
      <c r="DR2" s="48">
        <v>53413</v>
      </c>
      <c r="DS2" s="51">
        <v>1557</v>
      </c>
      <c r="DT2" s="48">
        <v>3439</v>
      </c>
      <c r="DU2" s="51">
        <v>1132</v>
      </c>
      <c r="DV2" s="48">
        <v>41180</v>
      </c>
      <c r="DW2" s="51">
        <v>10213</v>
      </c>
      <c r="DX2" s="48">
        <v>9132</v>
      </c>
      <c r="DY2" s="51">
        <v>77058</v>
      </c>
      <c r="DZ2" s="48">
        <v>274289</v>
      </c>
      <c r="EA2" s="51">
        <v>61442</v>
      </c>
      <c r="EB2" s="48">
        <v>62</v>
      </c>
      <c r="EC2" s="51">
        <v>4548</v>
      </c>
      <c r="ED2" s="48">
        <v>389717</v>
      </c>
      <c r="EE2" s="51">
        <v>82040</v>
      </c>
      <c r="EF2" s="48">
        <v>43402</v>
      </c>
      <c r="EG2" s="51">
        <v>50299</v>
      </c>
      <c r="EH2" s="48">
        <v>109597</v>
      </c>
      <c r="EI2" s="51">
        <v>45902</v>
      </c>
      <c r="EJ2" s="48">
        <v>816680</v>
      </c>
      <c r="EK2" s="51">
        <v>1879</v>
      </c>
      <c r="EL2" s="48">
        <v>17</v>
      </c>
      <c r="EM2" s="51">
        <v>24</v>
      </c>
      <c r="EN2" s="48">
        <v>52</v>
      </c>
      <c r="EO2" s="51">
        <v>699</v>
      </c>
      <c r="EP2" s="48">
        <v>865</v>
      </c>
      <c r="EQ2" s="51">
        <v>268934</v>
      </c>
      <c r="ER2" s="48">
        <v>9764</v>
      </c>
      <c r="ES2" s="51">
        <v>24141</v>
      </c>
      <c r="ET2" s="48">
        <v>114</v>
      </c>
      <c r="EU2" s="51">
        <v>1783</v>
      </c>
      <c r="EV2" s="48">
        <v>50838</v>
      </c>
      <c r="EW2" s="51">
        <v>2181</v>
      </c>
      <c r="EX2" s="48">
        <v>2087</v>
      </c>
      <c r="EY2" s="51">
        <v>3196</v>
      </c>
      <c r="EZ2" s="48">
        <v>452529</v>
      </c>
      <c r="FA2" s="51">
        <v>14203</v>
      </c>
      <c r="FB2" s="48">
        <v>2305</v>
      </c>
      <c r="FC2" s="51">
        <v>272421</v>
      </c>
      <c r="FD2" s="48">
        <v>2805</v>
      </c>
      <c r="FE2" s="51">
        <v>11424</v>
      </c>
      <c r="FF2" s="48">
        <v>1483</v>
      </c>
      <c r="FG2" s="51">
        <v>79395</v>
      </c>
      <c r="FH2" s="48">
        <v>34477</v>
      </c>
      <c r="FI2" s="51">
        <v>674</v>
      </c>
      <c r="FJ2" s="48">
        <v>462</v>
      </c>
      <c r="FK2" s="51">
        <v>7235</v>
      </c>
      <c r="FL2" s="48">
        <v>509</v>
      </c>
      <c r="FM2" s="51">
        <v>3297</v>
      </c>
      <c r="FN2" s="48">
        <v>24</v>
      </c>
      <c r="FO2" s="51">
        <v>874</v>
      </c>
      <c r="FP2" s="48">
        <v>148</v>
      </c>
      <c r="FQ2" s="51">
        <v>1455</v>
      </c>
      <c r="FR2" s="48">
        <v>227019</v>
      </c>
      <c r="FS2" s="51">
        <v>4290259</v>
      </c>
      <c r="FT2" s="48">
        <v>1128</v>
      </c>
      <c r="FU2" s="51">
        <v>67096</v>
      </c>
      <c r="FV2" s="48">
        <v>59177</v>
      </c>
      <c r="FW2" s="51">
        <v>301708</v>
      </c>
      <c r="FX2" s="48">
        <v>1202</v>
      </c>
      <c r="FY2" s="51">
        <v>21209</v>
      </c>
      <c r="FZ2" s="48">
        <v>15988</v>
      </c>
      <c r="GA2" s="51">
        <v>431</v>
      </c>
      <c r="GB2" s="48">
        <v>10621</v>
      </c>
      <c r="GC2" s="51">
        <v>10</v>
      </c>
      <c r="GD2" s="48">
        <v>1691</v>
      </c>
      <c r="GE2" s="51">
        <v>4552</v>
      </c>
      <c r="GF2" s="57">
        <v>2704</v>
      </c>
    </row>
    <row r="3" spans="1:188" x14ac:dyDescent="0.3">
      <c r="A3" s="66" t="s">
        <v>34</v>
      </c>
      <c r="B3" s="48" t="s">
        <v>50</v>
      </c>
      <c r="C3" s="51">
        <v>144</v>
      </c>
      <c r="D3" s="48">
        <v>1163</v>
      </c>
      <c r="E3" s="51">
        <v>52</v>
      </c>
      <c r="F3" s="48">
        <v>41</v>
      </c>
      <c r="G3" s="51">
        <v>3</v>
      </c>
      <c r="H3" s="48">
        <v>3059</v>
      </c>
      <c r="I3" s="51">
        <v>711</v>
      </c>
      <c r="J3" s="48">
        <v>167</v>
      </c>
      <c r="K3" s="51">
        <v>713</v>
      </c>
      <c r="L3" s="48">
        <v>423</v>
      </c>
      <c r="M3" s="51">
        <v>11</v>
      </c>
      <c r="N3" s="48">
        <v>141</v>
      </c>
      <c r="O3" s="51">
        <v>2965</v>
      </c>
      <c r="P3" s="48">
        <v>7</v>
      </c>
      <c r="Q3" s="51">
        <v>538</v>
      </c>
      <c r="R3" s="48">
        <v>9822</v>
      </c>
      <c r="S3" s="51">
        <v>2</v>
      </c>
      <c r="T3" s="48">
        <v>35</v>
      </c>
      <c r="U3" s="51">
        <v>0</v>
      </c>
      <c r="V3" s="48">
        <v>2647</v>
      </c>
      <c r="W3" s="51">
        <v>294</v>
      </c>
      <c r="X3" s="48">
        <v>2</v>
      </c>
      <c r="Y3" s="51">
        <v>87618</v>
      </c>
      <c r="Z3" s="48">
        <v>3</v>
      </c>
      <c r="AA3" s="51">
        <v>347</v>
      </c>
      <c r="AB3" s="48">
        <v>53</v>
      </c>
      <c r="AC3" s="51">
        <v>6</v>
      </c>
      <c r="AD3" s="48">
        <v>1</v>
      </c>
      <c r="AE3" s="51">
        <v>22</v>
      </c>
      <c r="AF3" s="48">
        <v>0</v>
      </c>
      <c r="AG3" s="51">
        <v>391</v>
      </c>
      <c r="AH3" s="48">
        <v>8944</v>
      </c>
      <c r="AI3" s="51">
        <v>59</v>
      </c>
      <c r="AJ3" s="48">
        <v>75</v>
      </c>
      <c r="AK3" s="51">
        <v>9187</v>
      </c>
      <c r="AL3" s="48">
        <v>4656</v>
      </c>
      <c r="AM3" s="51">
        <v>8777</v>
      </c>
      <c r="AN3" s="48">
        <v>7</v>
      </c>
      <c r="AO3" s="51">
        <v>54</v>
      </c>
      <c r="AP3" s="48">
        <v>208</v>
      </c>
      <c r="AQ3" s="51">
        <v>115</v>
      </c>
      <c r="AR3" s="48">
        <v>96</v>
      </c>
      <c r="AS3" s="51">
        <v>139</v>
      </c>
      <c r="AT3" s="48">
        <v>87</v>
      </c>
      <c r="AU3" s="51">
        <v>19</v>
      </c>
      <c r="AV3" s="48">
        <v>373</v>
      </c>
      <c r="AW3" s="51">
        <v>613</v>
      </c>
      <c r="AX3" s="48">
        <v>58</v>
      </c>
      <c r="AY3" s="51">
        <v>0</v>
      </c>
      <c r="AZ3" s="48">
        <v>1083</v>
      </c>
      <c r="BA3" s="51">
        <v>5532</v>
      </c>
      <c r="BB3" s="48">
        <v>4652</v>
      </c>
      <c r="BC3" s="51">
        <v>408</v>
      </c>
      <c r="BD3" s="48">
        <v>51</v>
      </c>
      <c r="BE3" s="51">
        <v>0</v>
      </c>
      <c r="BF3" s="48">
        <v>69</v>
      </c>
      <c r="BG3" s="51">
        <v>34</v>
      </c>
      <c r="BH3" s="48">
        <v>228</v>
      </c>
      <c r="BI3" s="51">
        <v>0</v>
      </c>
      <c r="BJ3" s="48">
        <v>329</v>
      </c>
      <c r="BK3" s="51">
        <v>30212</v>
      </c>
      <c r="BL3" s="48">
        <v>49</v>
      </c>
      <c r="BM3" s="51">
        <v>8</v>
      </c>
      <c r="BN3" s="48">
        <v>16</v>
      </c>
      <c r="BO3" s="51">
        <v>9125</v>
      </c>
      <c r="BP3" s="48">
        <v>168</v>
      </c>
      <c r="BQ3" s="51">
        <v>202</v>
      </c>
      <c r="BR3" s="48">
        <v>0</v>
      </c>
      <c r="BS3" s="51">
        <v>0</v>
      </c>
      <c r="BT3" s="48">
        <v>1761</v>
      </c>
      <c r="BU3" s="51">
        <v>45</v>
      </c>
      <c r="BV3" s="48">
        <v>26</v>
      </c>
      <c r="BW3" s="51">
        <v>20</v>
      </c>
      <c r="BX3" s="48">
        <v>158</v>
      </c>
      <c r="BY3" s="51">
        <v>0</v>
      </c>
      <c r="BZ3" s="48">
        <v>1166</v>
      </c>
      <c r="CA3" s="51">
        <v>596</v>
      </c>
      <c r="CB3" s="48">
        <v>10</v>
      </c>
      <c r="CC3" s="51">
        <v>33408</v>
      </c>
      <c r="CD3" s="48">
        <v>4838</v>
      </c>
      <c r="CE3" s="51">
        <v>15912</v>
      </c>
      <c r="CF3" s="48">
        <v>4458</v>
      </c>
      <c r="CG3" s="51">
        <v>1764</v>
      </c>
      <c r="CH3" s="48">
        <v>474</v>
      </c>
      <c r="CI3" s="51">
        <v>35112</v>
      </c>
      <c r="CJ3" s="48">
        <v>10</v>
      </c>
      <c r="CK3" s="51">
        <v>998</v>
      </c>
      <c r="CL3" s="48">
        <v>11</v>
      </c>
      <c r="CM3" s="51">
        <v>585</v>
      </c>
      <c r="CN3" s="48">
        <v>285</v>
      </c>
      <c r="CO3" s="51">
        <v>185</v>
      </c>
      <c r="CP3" s="48">
        <v>438</v>
      </c>
      <c r="CQ3" s="51">
        <v>1301</v>
      </c>
      <c r="CR3" s="48">
        <v>0</v>
      </c>
      <c r="CS3" s="51">
        <v>31</v>
      </c>
      <c r="CT3" s="48">
        <v>51</v>
      </c>
      <c r="CU3" s="51">
        <v>12</v>
      </c>
      <c r="CV3" s="48">
        <v>72</v>
      </c>
      <c r="CW3" s="51">
        <v>64</v>
      </c>
      <c r="CX3" s="48">
        <v>1</v>
      </c>
      <c r="CY3" s="51">
        <v>80</v>
      </c>
      <c r="CZ3" s="48">
        <v>112</v>
      </c>
      <c r="DA3" s="51">
        <v>91</v>
      </c>
      <c r="DB3" s="48">
        <v>99</v>
      </c>
      <c r="DC3" s="51">
        <v>124</v>
      </c>
      <c r="DD3" s="48">
        <v>15</v>
      </c>
      <c r="DE3" s="51">
        <v>124</v>
      </c>
      <c r="DF3" s="48">
        <v>9</v>
      </c>
      <c r="DG3" s="51">
        <v>156</v>
      </c>
      <c r="DH3" s="48">
        <v>10</v>
      </c>
      <c r="DI3" s="51">
        <v>44022</v>
      </c>
      <c r="DJ3" s="48">
        <v>748</v>
      </c>
      <c r="DK3" s="51">
        <v>4</v>
      </c>
      <c r="DL3" s="48">
        <v>0</v>
      </c>
      <c r="DM3" s="51">
        <v>45</v>
      </c>
      <c r="DN3" s="48">
        <v>316</v>
      </c>
      <c r="DO3" s="51">
        <v>11</v>
      </c>
      <c r="DP3" s="48">
        <v>8</v>
      </c>
      <c r="DQ3" s="51">
        <v>48</v>
      </c>
      <c r="DR3" s="48">
        <v>6160</v>
      </c>
      <c r="DS3" s="51">
        <v>22</v>
      </c>
      <c r="DT3" s="48">
        <v>108</v>
      </c>
      <c r="DU3" s="51">
        <v>69</v>
      </c>
      <c r="DV3" s="48">
        <v>860</v>
      </c>
      <c r="DW3" s="51">
        <v>466</v>
      </c>
      <c r="DX3" s="48">
        <v>255</v>
      </c>
      <c r="DY3" s="51">
        <v>393</v>
      </c>
      <c r="DZ3" s="48">
        <v>5842</v>
      </c>
      <c r="EA3" s="51">
        <v>1322</v>
      </c>
      <c r="EB3" s="48">
        <v>0</v>
      </c>
      <c r="EC3" s="51">
        <v>43</v>
      </c>
      <c r="ED3" s="48">
        <v>18418</v>
      </c>
      <c r="EE3" s="51">
        <v>1945</v>
      </c>
      <c r="EF3" s="48">
        <v>1676</v>
      </c>
      <c r="EG3" s="51">
        <v>1719</v>
      </c>
      <c r="EH3" s="48">
        <v>165</v>
      </c>
      <c r="EI3" s="51">
        <v>2206</v>
      </c>
      <c r="EJ3" s="48">
        <v>13334</v>
      </c>
      <c r="EK3" s="51">
        <v>5</v>
      </c>
      <c r="EL3" s="48">
        <v>0</v>
      </c>
      <c r="EM3" s="51">
        <v>0</v>
      </c>
      <c r="EN3" s="48">
        <v>0</v>
      </c>
      <c r="EO3" s="51">
        <v>42</v>
      </c>
      <c r="EP3" s="48">
        <v>14</v>
      </c>
      <c r="EQ3" s="51">
        <v>2760</v>
      </c>
      <c r="ER3" s="48">
        <v>194</v>
      </c>
      <c r="ES3" s="51">
        <v>543</v>
      </c>
      <c r="ET3" s="48">
        <v>0</v>
      </c>
      <c r="EU3" s="51">
        <v>66</v>
      </c>
      <c r="EV3" s="48">
        <v>27</v>
      </c>
      <c r="EW3" s="51">
        <v>28</v>
      </c>
      <c r="EX3" s="48">
        <v>116</v>
      </c>
      <c r="EY3" s="51">
        <v>93</v>
      </c>
      <c r="EZ3" s="48">
        <v>7067</v>
      </c>
      <c r="FA3" s="51">
        <v>300</v>
      </c>
      <c r="FB3" s="48">
        <v>46</v>
      </c>
      <c r="FC3" s="51">
        <v>28432</v>
      </c>
      <c r="FD3" s="48">
        <v>11</v>
      </c>
      <c r="FE3" s="51">
        <v>720</v>
      </c>
      <c r="FF3" s="48">
        <v>24</v>
      </c>
      <c r="FG3" s="51">
        <v>5700</v>
      </c>
      <c r="FH3" s="48">
        <v>1978</v>
      </c>
      <c r="FI3" s="51">
        <v>40</v>
      </c>
      <c r="FJ3" s="48">
        <v>7</v>
      </c>
      <c r="FK3" s="51">
        <v>60</v>
      </c>
      <c r="FL3" s="48">
        <v>21</v>
      </c>
      <c r="FM3" s="51">
        <v>58</v>
      </c>
      <c r="FN3" s="48">
        <v>0</v>
      </c>
      <c r="FO3" s="51">
        <v>18</v>
      </c>
      <c r="FP3" s="48">
        <v>8</v>
      </c>
      <c r="FQ3" s="51">
        <v>50</v>
      </c>
      <c r="FR3" s="48">
        <v>5630</v>
      </c>
      <c r="FS3" s="51">
        <v>148011</v>
      </c>
      <c r="FT3" s="48">
        <v>2</v>
      </c>
      <c r="FU3" s="51">
        <v>1636</v>
      </c>
      <c r="FV3" s="48">
        <v>345</v>
      </c>
      <c r="FW3" s="51">
        <v>45844</v>
      </c>
      <c r="FX3" s="48">
        <v>35</v>
      </c>
      <c r="FY3" s="51">
        <v>121</v>
      </c>
      <c r="FZ3" s="48">
        <v>146</v>
      </c>
      <c r="GA3" s="51">
        <v>0</v>
      </c>
      <c r="GB3" s="48">
        <v>78</v>
      </c>
      <c r="GC3" s="51">
        <v>1</v>
      </c>
      <c r="GD3" s="48">
        <v>483</v>
      </c>
      <c r="GE3" s="51">
        <v>140</v>
      </c>
      <c r="GF3" s="57">
        <v>36</v>
      </c>
    </row>
    <row r="4" spans="1:188" x14ac:dyDescent="0.3">
      <c r="A4" s="66" t="s">
        <v>35</v>
      </c>
      <c r="B4" s="48" t="s">
        <v>51</v>
      </c>
      <c r="C4" s="51">
        <v>2745</v>
      </c>
      <c r="D4" s="48">
        <v>18837</v>
      </c>
      <c r="E4" s="51">
        <v>803</v>
      </c>
      <c r="F4" s="48">
        <v>242</v>
      </c>
      <c r="G4" s="51">
        <v>65</v>
      </c>
      <c r="H4" s="48">
        <v>72575</v>
      </c>
      <c r="I4" s="51">
        <v>26665</v>
      </c>
      <c r="J4" s="48">
        <v>9311</v>
      </c>
      <c r="K4" s="51">
        <v>18246</v>
      </c>
      <c r="L4" s="48">
        <v>23242</v>
      </c>
      <c r="M4" s="51">
        <v>91</v>
      </c>
      <c r="N4" s="48">
        <v>36110</v>
      </c>
      <c r="O4" s="51">
        <v>125683</v>
      </c>
      <c r="P4" s="48">
        <v>94</v>
      </c>
      <c r="Q4" s="51">
        <v>60492</v>
      </c>
      <c r="R4" s="48">
        <v>17452</v>
      </c>
      <c r="S4" s="51">
        <v>26</v>
      </c>
      <c r="T4" s="48">
        <v>1036</v>
      </c>
      <c r="U4" s="51">
        <v>86</v>
      </c>
      <c r="V4" s="48">
        <v>21478</v>
      </c>
      <c r="W4" s="51">
        <v>4930</v>
      </c>
      <c r="X4" s="48">
        <v>63</v>
      </c>
      <c r="Y4" s="51">
        <v>1846641</v>
      </c>
      <c r="Z4" s="48">
        <v>138</v>
      </c>
      <c r="AA4" s="51">
        <v>5585</v>
      </c>
      <c r="AB4" s="48">
        <v>926</v>
      </c>
      <c r="AC4" s="51">
        <v>292</v>
      </c>
      <c r="AD4" s="48">
        <v>301</v>
      </c>
      <c r="AE4" s="51">
        <v>1550</v>
      </c>
      <c r="AF4" s="48">
        <v>147</v>
      </c>
      <c r="AG4" s="51">
        <v>14539</v>
      </c>
      <c r="AH4" s="48">
        <v>0</v>
      </c>
      <c r="AI4" s="51">
        <v>1546</v>
      </c>
      <c r="AJ4" s="48">
        <v>810</v>
      </c>
      <c r="AK4" s="51">
        <v>319954</v>
      </c>
      <c r="AL4" s="48">
        <v>78869</v>
      </c>
      <c r="AM4" s="51">
        <v>131161</v>
      </c>
      <c r="AN4" s="48">
        <v>328</v>
      </c>
      <c r="AO4" s="51">
        <v>829</v>
      </c>
      <c r="AP4" s="48">
        <v>5700</v>
      </c>
      <c r="AQ4" s="51">
        <v>3824</v>
      </c>
      <c r="AR4" s="48">
        <v>10361</v>
      </c>
      <c r="AS4" s="51">
        <v>3936</v>
      </c>
      <c r="AT4" s="48">
        <v>2351</v>
      </c>
      <c r="AU4" s="51">
        <v>852</v>
      </c>
      <c r="AV4" s="48">
        <v>11428</v>
      </c>
      <c r="AW4" s="51">
        <v>12605</v>
      </c>
      <c r="AX4" s="48">
        <v>4977</v>
      </c>
      <c r="AY4" s="51">
        <v>18</v>
      </c>
      <c r="AZ4" s="48">
        <v>30204</v>
      </c>
      <c r="BA4" s="51">
        <v>34896</v>
      </c>
      <c r="BB4" s="48">
        <v>34838</v>
      </c>
      <c r="BC4" s="51">
        <v>7778</v>
      </c>
      <c r="BD4" s="48">
        <v>842</v>
      </c>
      <c r="BE4" s="51">
        <v>191</v>
      </c>
      <c r="BF4" s="48">
        <v>1923</v>
      </c>
      <c r="BG4" s="51">
        <v>1025</v>
      </c>
      <c r="BH4" s="48">
        <v>6386</v>
      </c>
      <c r="BI4" s="51">
        <v>18</v>
      </c>
      <c r="BJ4" s="48">
        <v>6920</v>
      </c>
      <c r="BK4" s="51">
        <v>81212</v>
      </c>
      <c r="BL4" s="48">
        <v>4682</v>
      </c>
      <c r="BM4" s="51">
        <v>66</v>
      </c>
      <c r="BN4" s="48">
        <v>922</v>
      </c>
      <c r="BO4" s="51">
        <v>190314</v>
      </c>
      <c r="BP4" s="48">
        <v>29801</v>
      </c>
      <c r="BQ4" s="51">
        <v>1374</v>
      </c>
      <c r="BR4" s="48">
        <v>13</v>
      </c>
      <c r="BS4" s="51">
        <v>23</v>
      </c>
      <c r="BT4" s="48">
        <v>32455</v>
      </c>
      <c r="BU4" s="51">
        <v>6257</v>
      </c>
      <c r="BV4" s="48">
        <v>803</v>
      </c>
      <c r="BW4" s="51">
        <v>181</v>
      </c>
      <c r="BX4" s="48">
        <v>4365</v>
      </c>
      <c r="BY4" s="51">
        <v>12</v>
      </c>
      <c r="BZ4" s="48">
        <v>5039</v>
      </c>
      <c r="CA4" s="51">
        <v>3329</v>
      </c>
      <c r="CB4" s="48">
        <v>1823</v>
      </c>
      <c r="CC4" s="51">
        <v>951166</v>
      </c>
      <c r="CD4" s="48">
        <v>58173</v>
      </c>
      <c r="CE4" s="51">
        <v>255144</v>
      </c>
      <c r="CF4" s="48">
        <v>77144</v>
      </c>
      <c r="CG4" s="51">
        <v>23364</v>
      </c>
      <c r="CH4" s="48">
        <v>27133</v>
      </c>
      <c r="CI4" s="51">
        <v>198593</v>
      </c>
      <c r="CJ4" s="48">
        <v>714</v>
      </c>
      <c r="CK4" s="51">
        <v>21970</v>
      </c>
      <c r="CL4" s="48">
        <v>1041</v>
      </c>
      <c r="CM4" s="51">
        <v>54404</v>
      </c>
      <c r="CN4" s="48">
        <v>7833</v>
      </c>
      <c r="CO4" s="51">
        <v>4027</v>
      </c>
      <c r="CP4" s="48">
        <v>55057</v>
      </c>
      <c r="CQ4" s="51">
        <v>21205</v>
      </c>
      <c r="CR4" s="48">
        <v>19</v>
      </c>
      <c r="CS4" s="51">
        <v>1045</v>
      </c>
      <c r="CT4" s="48">
        <v>1709</v>
      </c>
      <c r="CU4" s="51">
        <v>128</v>
      </c>
      <c r="CV4" s="48">
        <v>646</v>
      </c>
      <c r="CW4" s="51">
        <v>577</v>
      </c>
      <c r="CX4" s="48">
        <v>81</v>
      </c>
      <c r="CY4" s="51">
        <v>1620</v>
      </c>
      <c r="CZ4" s="48">
        <v>4825</v>
      </c>
      <c r="DA4" s="51">
        <v>6260</v>
      </c>
      <c r="DB4" s="48">
        <v>1645</v>
      </c>
      <c r="DC4" s="51">
        <v>8601</v>
      </c>
      <c r="DD4" s="48">
        <v>2547</v>
      </c>
      <c r="DE4" s="51">
        <v>1913</v>
      </c>
      <c r="DF4" s="48">
        <v>665</v>
      </c>
      <c r="DG4" s="51">
        <v>4653</v>
      </c>
      <c r="DH4" s="48">
        <v>332</v>
      </c>
      <c r="DI4" s="51">
        <v>303810</v>
      </c>
      <c r="DJ4" s="48">
        <v>16154</v>
      </c>
      <c r="DK4" s="51">
        <v>104</v>
      </c>
      <c r="DL4" s="48">
        <v>222</v>
      </c>
      <c r="DM4" s="51">
        <v>809</v>
      </c>
      <c r="DN4" s="48">
        <v>16553</v>
      </c>
      <c r="DO4" s="51">
        <v>0</v>
      </c>
      <c r="DP4" s="48">
        <v>101</v>
      </c>
      <c r="DQ4" s="51">
        <v>13754</v>
      </c>
      <c r="DR4" s="48">
        <v>189</v>
      </c>
      <c r="DS4" s="51">
        <v>1514</v>
      </c>
      <c r="DT4" s="48">
        <v>2492</v>
      </c>
      <c r="DU4" s="51">
        <v>1027</v>
      </c>
      <c r="DV4" s="48">
        <v>18203</v>
      </c>
      <c r="DW4" s="51">
        <v>5564</v>
      </c>
      <c r="DX4" s="48">
        <v>8752</v>
      </c>
      <c r="DY4" s="51">
        <v>57028</v>
      </c>
      <c r="DZ4" s="48">
        <v>241026</v>
      </c>
      <c r="EA4" s="51">
        <v>35086</v>
      </c>
      <c r="EB4" s="48">
        <v>11</v>
      </c>
      <c r="EC4" s="51">
        <v>2905</v>
      </c>
      <c r="ED4" s="48">
        <v>272547</v>
      </c>
      <c r="EE4" s="51">
        <v>26446</v>
      </c>
      <c r="EF4" s="48">
        <v>32856</v>
      </c>
      <c r="EG4" s="51">
        <v>35375</v>
      </c>
      <c r="EH4" s="48">
        <v>106328</v>
      </c>
      <c r="EI4" s="51">
        <v>25794</v>
      </c>
      <c r="EJ4" s="48">
        <v>602249</v>
      </c>
      <c r="EK4" s="51">
        <v>975</v>
      </c>
      <c r="EL4" s="48">
        <v>15</v>
      </c>
      <c r="EM4" s="51">
        <v>22</v>
      </c>
      <c r="EN4" s="48">
        <v>39</v>
      </c>
      <c r="EO4" s="51">
        <v>657</v>
      </c>
      <c r="EP4" s="48">
        <v>734</v>
      </c>
      <c r="EQ4" s="51">
        <v>222936</v>
      </c>
      <c r="ER4" s="48">
        <v>6477</v>
      </c>
      <c r="ES4" s="51">
        <v>0</v>
      </c>
      <c r="ET4" s="48">
        <v>39</v>
      </c>
      <c r="EU4" s="51">
        <v>1317</v>
      </c>
      <c r="EV4" s="48">
        <v>45692</v>
      </c>
      <c r="EW4" s="51">
        <v>1616</v>
      </c>
      <c r="EX4" s="48">
        <v>1733</v>
      </c>
      <c r="EY4" s="51">
        <v>1543</v>
      </c>
      <c r="EZ4" s="48">
        <v>274925</v>
      </c>
      <c r="FA4" s="51">
        <v>13007</v>
      </c>
      <c r="FB4" s="48">
        <v>1175</v>
      </c>
      <c r="FC4" s="51">
        <v>150376</v>
      </c>
      <c r="FD4" s="48">
        <v>2121</v>
      </c>
      <c r="FE4" s="51">
        <v>5939</v>
      </c>
      <c r="FF4" s="48">
        <v>925</v>
      </c>
      <c r="FG4" s="51">
        <v>0</v>
      </c>
      <c r="FH4" s="48">
        <v>30900</v>
      </c>
      <c r="FI4" s="51">
        <v>0</v>
      </c>
      <c r="FJ4" s="48">
        <v>440</v>
      </c>
      <c r="FK4" s="51">
        <v>6028</v>
      </c>
      <c r="FL4" s="48">
        <v>183</v>
      </c>
      <c r="FM4" s="51">
        <v>3111</v>
      </c>
      <c r="FN4" s="48">
        <v>0</v>
      </c>
      <c r="FO4" s="51">
        <v>607</v>
      </c>
      <c r="FP4" s="48">
        <v>128</v>
      </c>
      <c r="FQ4" s="51">
        <v>1157</v>
      </c>
      <c r="FR4" s="48">
        <v>210469</v>
      </c>
      <c r="FS4" s="51">
        <v>1325804</v>
      </c>
      <c r="FT4" s="48">
        <v>986</v>
      </c>
      <c r="FU4" s="51">
        <v>37202</v>
      </c>
      <c r="FV4" s="48">
        <v>52510</v>
      </c>
      <c r="FW4" s="51">
        <v>1437</v>
      </c>
      <c r="FX4" s="48">
        <v>951</v>
      </c>
      <c r="FY4" s="51">
        <v>11674</v>
      </c>
      <c r="FZ4" s="48">
        <v>9959</v>
      </c>
      <c r="GA4" s="51">
        <v>365</v>
      </c>
      <c r="GB4" s="48">
        <v>3752</v>
      </c>
      <c r="GC4" s="51">
        <v>8</v>
      </c>
      <c r="GD4" s="48">
        <v>833</v>
      </c>
      <c r="GE4" s="51">
        <v>2815</v>
      </c>
      <c r="GF4" s="57">
        <v>542</v>
      </c>
    </row>
    <row r="5" spans="1:188" x14ac:dyDescent="0.3">
      <c r="A5" s="66" t="s">
        <v>36</v>
      </c>
      <c r="B5" s="48" t="s">
        <v>52</v>
      </c>
      <c r="C5" s="51">
        <v>1991</v>
      </c>
      <c r="D5" s="48">
        <v>7973</v>
      </c>
      <c r="E5" s="51">
        <v>52</v>
      </c>
      <c r="F5" s="48">
        <v>667</v>
      </c>
      <c r="G5" s="51">
        <v>18</v>
      </c>
      <c r="H5" s="48">
        <v>91782</v>
      </c>
      <c r="I5" s="51">
        <v>10014</v>
      </c>
      <c r="J5" s="48">
        <v>5825</v>
      </c>
      <c r="K5" s="51">
        <v>1599</v>
      </c>
      <c r="L5" s="48">
        <v>6781</v>
      </c>
      <c r="M5" s="51">
        <v>280</v>
      </c>
      <c r="N5" s="48">
        <v>3231</v>
      </c>
      <c r="O5" s="51">
        <v>97577</v>
      </c>
      <c r="P5" s="48">
        <v>9</v>
      </c>
      <c r="Q5" s="51">
        <v>6221</v>
      </c>
      <c r="R5" s="48">
        <v>39154</v>
      </c>
      <c r="S5" s="51">
        <v>20</v>
      </c>
      <c r="T5" s="48">
        <v>699</v>
      </c>
      <c r="U5" s="51">
        <v>13</v>
      </c>
      <c r="V5" s="48">
        <v>47056</v>
      </c>
      <c r="W5" s="51">
        <v>5274</v>
      </c>
      <c r="X5" s="48">
        <v>674</v>
      </c>
      <c r="Y5" s="51">
        <v>508116</v>
      </c>
      <c r="Z5" s="48">
        <v>0</v>
      </c>
      <c r="AA5" s="51">
        <v>4689</v>
      </c>
      <c r="AB5" s="48">
        <v>121</v>
      </c>
      <c r="AC5" s="51">
        <v>52</v>
      </c>
      <c r="AD5" s="48">
        <v>76</v>
      </c>
      <c r="AE5" s="51">
        <v>756</v>
      </c>
      <c r="AF5" s="48">
        <v>79</v>
      </c>
      <c r="AG5" s="51">
        <v>2180</v>
      </c>
      <c r="AH5" s="48">
        <v>107514</v>
      </c>
      <c r="AI5" s="51">
        <v>2994</v>
      </c>
      <c r="AJ5" s="48">
        <v>37</v>
      </c>
      <c r="AK5" s="51">
        <v>18782</v>
      </c>
      <c r="AL5" s="48">
        <v>3258</v>
      </c>
      <c r="AM5" s="51">
        <v>117163</v>
      </c>
      <c r="AN5" s="48">
        <v>19</v>
      </c>
      <c r="AO5" s="51">
        <v>2317</v>
      </c>
      <c r="AP5" s="48">
        <v>2936</v>
      </c>
      <c r="AQ5" s="51">
        <v>11902</v>
      </c>
      <c r="AR5" s="48">
        <v>5198</v>
      </c>
      <c r="AS5" s="51">
        <v>806</v>
      </c>
      <c r="AT5" s="48">
        <v>94</v>
      </c>
      <c r="AU5" s="51">
        <v>189</v>
      </c>
      <c r="AV5" s="48">
        <v>3715</v>
      </c>
      <c r="AW5" s="51">
        <v>543</v>
      </c>
      <c r="AX5" s="48">
        <v>24</v>
      </c>
      <c r="AY5" s="51">
        <v>0</v>
      </c>
      <c r="AZ5" s="48">
        <v>32869</v>
      </c>
      <c r="BA5" s="51">
        <v>40733</v>
      </c>
      <c r="BB5" s="48">
        <v>52992</v>
      </c>
      <c r="BC5" s="51">
        <v>6849</v>
      </c>
      <c r="BD5" s="48">
        <v>2178</v>
      </c>
      <c r="BE5" s="51">
        <v>74</v>
      </c>
      <c r="BF5" s="48">
        <v>42</v>
      </c>
      <c r="BG5" s="51">
        <v>1257</v>
      </c>
      <c r="BH5" s="48">
        <v>7933</v>
      </c>
      <c r="BI5" s="51">
        <v>9</v>
      </c>
      <c r="BJ5" s="48">
        <v>149</v>
      </c>
      <c r="BK5" s="51">
        <v>108928</v>
      </c>
      <c r="BL5" s="48">
        <v>2458</v>
      </c>
      <c r="BM5" s="51">
        <v>252</v>
      </c>
      <c r="BN5" s="48">
        <v>199</v>
      </c>
      <c r="BO5" s="51">
        <v>7673</v>
      </c>
      <c r="BP5" s="48">
        <v>3655</v>
      </c>
      <c r="BQ5" s="51">
        <v>2651</v>
      </c>
      <c r="BR5" s="48">
        <v>1</v>
      </c>
      <c r="BS5" s="51">
        <v>0</v>
      </c>
      <c r="BT5" s="48">
        <v>11093</v>
      </c>
      <c r="BU5" s="51">
        <v>753</v>
      </c>
      <c r="BV5" s="48">
        <v>1125</v>
      </c>
      <c r="BW5" s="51">
        <v>188</v>
      </c>
      <c r="BX5" s="48">
        <v>2817</v>
      </c>
      <c r="BY5" s="51">
        <v>0</v>
      </c>
      <c r="BZ5" s="48">
        <v>33536</v>
      </c>
      <c r="CA5" s="51">
        <v>523</v>
      </c>
      <c r="CB5" s="48">
        <v>21</v>
      </c>
      <c r="CC5" s="51">
        <v>495499</v>
      </c>
      <c r="CD5" s="48">
        <v>37292</v>
      </c>
      <c r="CE5" s="51">
        <v>22550</v>
      </c>
      <c r="CF5" s="48">
        <v>30983</v>
      </c>
      <c r="CG5" s="51">
        <v>764</v>
      </c>
      <c r="CH5" s="48">
        <v>36378</v>
      </c>
      <c r="CI5" s="51">
        <v>12581</v>
      </c>
      <c r="CJ5" s="48">
        <v>129</v>
      </c>
      <c r="CK5" s="51">
        <v>8174</v>
      </c>
      <c r="CL5" s="48">
        <v>124</v>
      </c>
      <c r="CM5" s="51">
        <v>29659</v>
      </c>
      <c r="CN5" s="48">
        <v>9857</v>
      </c>
      <c r="CO5" s="51">
        <v>3201</v>
      </c>
      <c r="CP5" s="48">
        <v>8884</v>
      </c>
      <c r="CQ5" s="51">
        <v>10790</v>
      </c>
      <c r="CR5" s="48">
        <v>1</v>
      </c>
      <c r="CS5" s="51">
        <v>143</v>
      </c>
      <c r="CT5" s="48">
        <v>2122</v>
      </c>
      <c r="CU5" s="51">
        <v>365</v>
      </c>
      <c r="CV5" s="48">
        <v>449</v>
      </c>
      <c r="CW5" s="51">
        <v>2186</v>
      </c>
      <c r="CX5" s="48">
        <v>4</v>
      </c>
      <c r="CY5" s="51">
        <v>319</v>
      </c>
      <c r="CZ5" s="48">
        <v>1384</v>
      </c>
      <c r="DA5" s="51">
        <v>3339</v>
      </c>
      <c r="DB5" s="48">
        <v>1920</v>
      </c>
      <c r="DC5" s="51">
        <v>179</v>
      </c>
      <c r="DD5" s="48">
        <v>807</v>
      </c>
      <c r="DE5" s="51">
        <v>476</v>
      </c>
      <c r="DF5" s="48">
        <v>27</v>
      </c>
      <c r="DG5" s="51">
        <v>1399</v>
      </c>
      <c r="DH5" s="48">
        <v>2</v>
      </c>
      <c r="DI5" s="51">
        <v>47657</v>
      </c>
      <c r="DJ5" s="48">
        <v>6252</v>
      </c>
      <c r="DK5" s="51">
        <v>8</v>
      </c>
      <c r="DL5" s="48">
        <v>67</v>
      </c>
      <c r="DM5" s="51">
        <v>2039</v>
      </c>
      <c r="DN5" s="48">
        <v>4018</v>
      </c>
      <c r="DO5" s="51">
        <v>1690</v>
      </c>
      <c r="DP5" s="48">
        <v>1734</v>
      </c>
      <c r="DQ5" s="51">
        <v>4950</v>
      </c>
      <c r="DR5" s="48">
        <v>47064</v>
      </c>
      <c r="DS5" s="51">
        <v>21</v>
      </c>
      <c r="DT5" s="48">
        <v>839</v>
      </c>
      <c r="DU5" s="51">
        <v>36</v>
      </c>
      <c r="DV5" s="48">
        <v>22117</v>
      </c>
      <c r="DW5" s="51">
        <v>4183</v>
      </c>
      <c r="DX5" s="48">
        <v>125</v>
      </c>
      <c r="DY5" s="51">
        <v>19637</v>
      </c>
      <c r="DZ5" s="48">
        <v>27421</v>
      </c>
      <c r="EA5" s="51">
        <v>25034</v>
      </c>
      <c r="EB5" s="48">
        <v>51</v>
      </c>
      <c r="EC5" s="51">
        <v>1600</v>
      </c>
      <c r="ED5" s="48">
        <v>98752</v>
      </c>
      <c r="EE5" s="51">
        <v>53649</v>
      </c>
      <c r="EF5" s="48">
        <v>8870</v>
      </c>
      <c r="EG5" s="51">
        <v>13205</v>
      </c>
      <c r="EH5" s="48">
        <v>3104</v>
      </c>
      <c r="EI5" s="51">
        <v>17902</v>
      </c>
      <c r="EJ5" s="48">
        <v>201097</v>
      </c>
      <c r="EK5" s="51">
        <v>899</v>
      </c>
      <c r="EL5" s="48">
        <v>2</v>
      </c>
      <c r="EM5" s="51">
        <v>2</v>
      </c>
      <c r="EN5" s="48">
        <v>13</v>
      </c>
      <c r="EO5" s="51">
        <v>0</v>
      </c>
      <c r="EP5" s="48">
        <v>117</v>
      </c>
      <c r="EQ5" s="51">
        <v>43238</v>
      </c>
      <c r="ER5" s="48">
        <v>3093</v>
      </c>
      <c r="ES5" s="51">
        <v>23598</v>
      </c>
      <c r="ET5" s="48">
        <v>75</v>
      </c>
      <c r="EU5" s="51">
        <v>400</v>
      </c>
      <c r="EV5" s="48">
        <v>5119</v>
      </c>
      <c r="EW5" s="51">
        <v>537</v>
      </c>
      <c r="EX5" s="48">
        <v>238</v>
      </c>
      <c r="EY5" s="51">
        <v>1560</v>
      </c>
      <c r="EZ5" s="48">
        <v>170537</v>
      </c>
      <c r="FA5" s="51">
        <v>896</v>
      </c>
      <c r="FB5" s="48">
        <v>1084</v>
      </c>
      <c r="FC5" s="51">
        <v>93613</v>
      </c>
      <c r="FD5" s="48">
        <v>673</v>
      </c>
      <c r="FE5" s="51">
        <v>4765</v>
      </c>
      <c r="FF5" s="48">
        <v>534</v>
      </c>
      <c r="FG5" s="51">
        <v>73695</v>
      </c>
      <c r="FH5" s="48">
        <v>1599</v>
      </c>
      <c r="FI5" s="51">
        <v>634</v>
      </c>
      <c r="FJ5" s="48">
        <v>15</v>
      </c>
      <c r="FK5" s="51">
        <v>1147</v>
      </c>
      <c r="FL5" s="48">
        <v>305</v>
      </c>
      <c r="FM5" s="51">
        <v>128</v>
      </c>
      <c r="FN5" s="48">
        <v>24</v>
      </c>
      <c r="FO5" s="51">
        <v>249</v>
      </c>
      <c r="FP5" s="48">
        <v>12</v>
      </c>
      <c r="FQ5" s="51">
        <v>248</v>
      </c>
      <c r="FR5" s="48">
        <v>10920</v>
      </c>
      <c r="FS5" s="51">
        <v>2816444</v>
      </c>
      <c r="FT5" s="48">
        <v>140</v>
      </c>
      <c r="FU5" s="51">
        <v>28258</v>
      </c>
      <c r="FV5" s="48">
        <v>6322</v>
      </c>
      <c r="FW5" s="51">
        <v>254427</v>
      </c>
      <c r="FX5" s="48">
        <v>216</v>
      </c>
      <c r="FY5" s="51">
        <v>9414</v>
      </c>
      <c r="FZ5" s="48">
        <v>5883</v>
      </c>
      <c r="GA5" s="51">
        <v>66</v>
      </c>
      <c r="GB5" s="48">
        <v>6791</v>
      </c>
      <c r="GC5" s="51">
        <v>1</v>
      </c>
      <c r="GD5" s="48">
        <v>375</v>
      </c>
      <c r="GE5" s="51">
        <v>1597</v>
      </c>
      <c r="GF5" s="57">
        <v>2126</v>
      </c>
    </row>
    <row r="6" spans="1:188" x14ac:dyDescent="0.3">
      <c r="A6" s="67" t="s">
        <v>37</v>
      </c>
      <c r="B6" s="48" t="s">
        <v>53</v>
      </c>
      <c r="C6" s="51">
        <v>2877470</v>
      </c>
      <c r="D6" s="48">
        <v>43926079</v>
      </c>
      <c r="E6" s="51">
        <v>77278</v>
      </c>
      <c r="F6" s="48">
        <v>32956300</v>
      </c>
      <c r="G6" s="51">
        <v>98010</v>
      </c>
      <c r="H6" s="48">
        <v>45236884</v>
      </c>
      <c r="I6" s="51">
        <v>2963811</v>
      </c>
      <c r="J6" s="48">
        <v>25528864</v>
      </c>
      <c r="K6" s="51">
        <v>9011577</v>
      </c>
      <c r="L6" s="48">
        <v>10148243</v>
      </c>
      <c r="M6" s="51">
        <v>393616</v>
      </c>
      <c r="N6" s="48">
        <v>1706669</v>
      </c>
      <c r="O6" s="51">
        <v>164851401</v>
      </c>
      <c r="P6" s="48">
        <v>287411</v>
      </c>
      <c r="Q6" s="51">
        <v>9449001</v>
      </c>
      <c r="R6" s="48">
        <v>11594739</v>
      </c>
      <c r="S6" s="51">
        <v>398312</v>
      </c>
      <c r="T6" s="48">
        <v>12151976</v>
      </c>
      <c r="U6" s="51">
        <v>772443</v>
      </c>
      <c r="V6" s="48">
        <v>11688459</v>
      </c>
      <c r="W6" s="51">
        <v>3278650</v>
      </c>
      <c r="X6" s="48">
        <v>2356075</v>
      </c>
      <c r="Y6" s="51">
        <v>212710692</v>
      </c>
      <c r="Z6" s="48">
        <v>437893</v>
      </c>
      <c r="AA6" s="51">
        <v>6942854</v>
      </c>
      <c r="AB6" s="48">
        <v>20954852</v>
      </c>
      <c r="AC6" s="51">
        <v>54446389</v>
      </c>
      <c r="AD6" s="48">
        <v>11922216</v>
      </c>
      <c r="AE6" s="51">
        <v>556581</v>
      </c>
      <c r="AF6" s="48">
        <v>16741375</v>
      </c>
      <c r="AG6" s="51">
        <v>26606188</v>
      </c>
      <c r="AH6" s="48">
        <v>37775022</v>
      </c>
      <c r="AI6" s="51">
        <v>4837752</v>
      </c>
      <c r="AJ6" s="53" t="s">
        <v>87</v>
      </c>
      <c r="AK6" s="51">
        <v>19132514</v>
      </c>
      <c r="AL6" s="53">
        <v>1411778724</v>
      </c>
      <c r="AM6" s="51">
        <v>50936262</v>
      </c>
      <c r="AN6" s="48">
        <v>871326</v>
      </c>
      <c r="AO6" s="51">
        <v>5530506</v>
      </c>
      <c r="AP6" s="53">
        <v>96076573</v>
      </c>
      <c r="AQ6" s="51">
        <v>5098730</v>
      </c>
      <c r="AR6" s="53">
        <v>26172000</v>
      </c>
      <c r="AS6" s="51">
        <v>4102577</v>
      </c>
      <c r="AT6" s="48">
        <v>11325899</v>
      </c>
      <c r="AU6" s="51">
        <v>1208238</v>
      </c>
      <c r="AV6" s="48">
        <v>10711019</v>
      </c>
      <c r="AW6" s="51">
        <v>5794279</v>
      </c>
      <c r="AX6" s="48">
        <v>989387</v>
      </c>
      <c r="AY6" s="51">
        <v>72004</v>
      </c>
      <c r="AZ6" s="48">
        <v>10858648</v>
      </c>
      <c r="BA6" s="51">
        <v>17668824</v>
      </c>
      <c r="BB6" s="48">
        <v>102516525</v>
      </c>
      <c r="BC6" s="51">
        <v>6489514</v>
      </c>
      <c r="BD6" s="48">
        <v>1407001</v>
      </c>
      <c r="BE6" s="51">
        <v>3551175</v>
      </c>
      <c r="BF6" s="48">
        <v>1326627</v>
      </c>
      <c r="BG6" s="51">
        <v>1161348</v>
      </c>
      <c r="BH6" s="48">
        <v>115223736</v>
      </c>
      <c r="BI6" s="51">
        <v>897095</v>
      </c>
      <c r="BJ6" s="48">
        <v>5541604</v>
      </c>
      <c r="BK6" s="51">
        <v>65288306</v>
      </c>
      <c r="BL6" s="48">
        <v>2230563</v>
      </c>
      <c r="BM6" s="51">
        <v>2422754</v>
      </c>
      <c r="BN6" s="48">
        <v>3988368</v>
      </c>
      <c r="BO6" s="51">
        <v>83811260</v>
      </c>
      <c r="BP6" s="48">
        <v>31133483</v>
      </c>
      <c r="BQ6" s="51">
        <v>10417673</v>
      </c>
      <c r="BR6" s="48">
        <v>56780</v>
      </c>
      <c r="BS6" s="51">
        <v>112576</v>
      </c>
      <c r="BT6" s="48">
        <v>17946899</v>
      </c>
      <c r="BU6" s="51">
        <v>13164905</v>
      </c>
      <c r="BV6" s="48">
        <v>1972277</v>
      </c>
      <c r="BW6" s="51">
        <v>786936</v>
      </c>
      <c r="BX6" s="48">
        <v>11416103</v>
      </c>
      <c r="BY6" s="54">
        <v>528</v>
      </c>
      <c r="BZ6" s="53">
        <v>10012084</v>
      </c>
      <c r="CA6" s="51">
        <v>9657785</v>
      </c>
      <c r="CB6" s="48">
        <v>341465</v>
      </c>
      <c r="CC6" s="51">
        <v>1381344997</v>
      </c>
      <c r="CD6" s="48">
        <v>273808365</v>
      </c>
      <c r="CE6" s="51">
        <v>84097623</v>
      </c>
      <c r="CF6" s="48">
        <v>40306025</v>
      </c>
      <c r="CG6" s="51">
        <v>4943200</v>
      </c>
      <c r="CH6" s="48">
        <v>9197590</v>
      </c>
      <c r="CI6" s="51">
        <v>60452568</v>
      </c>
      <c r="CJ6" s="48">
        <v>2962478</v>
      </c>
      <c r="CK6" s="51">
        <v>126435859</v>
      </c>
      <c r="CL6" s="48">
        <v>10213138</v>
      </c>
      <c r="CM6" s="51">
        <v>18798667</v>
      </c>
      <c r="CN6" s="48">
        <v>53881160</v>
      </c>
      <c r="CO6" s="55">
        <v>1790152</v>
      </c>
      <c r="CP6" s="48">
        <v>4276658</v>
      </c>
      <c r="CQ6" s="51">
        <v>6534479</v>
      </c>
      <c r="CR6" s="48">
        <v>7285750</v>
      </c>
      <c r="CS6" s="51">
        <v>1883936</v>
      </c>
      <c r="CT6" s="48">
        <v>6822220</v>
      </c>
      <c r="CU6" s="51">
        <v>2143943</v>
      </c>
      <c r="CV6" s="48">
        <v>5068618</v>
      </c>
      <c r="CW6" s="51">
        <v>6880353</v>
      </c>
      <c r="CX6" s="48">
        <v>38139</v>
      </c>
      <c r="CY6" s="51">
        <v>2718121</v>
      </c>
      <c r="CZ6" s="48">
        <v>626952</v>
      </c>
      <c r="DA6" s="51">
        <v>27755708</v>
      </c>
      <c r="DB6" s="48">
        <v>19174839</v>
      </c>
      <c r="DC6" s="51">
        <v>32406372</v>
      </c>
      <c r="DD6" s="48">
        <v>541448</v>
      </c>
      <c r="DE6" s="51">
        <v>20302901</v>
      </c>
      <c r="DF6" s="48">
        <v>441663</v>
      </c>
      <c r="DG6" s="51">
        <v>4660728</v>
      </c>
      <c r="DH6" s="48">
        <v>1271985</v>
      </c>
      <c r="DI6" s="51">
        <v>129066160</v>
      </c>
      <c r="DJ6" s="48">
        <v>4032983</v>
      </c>
      <c r="DK6" s="51">
        <v>39270</v>
      </c>
      <c r="DL6" s="48">
        <v>3283344</v>
      </c>
      <c r="DM6" s="51">
        <v>628074</v>
      </c>
      <c r="DN6" s="48">
        <v>36953359</v>
      </c>
      <c r="DO6" s="51">
        <v>31333962</v>
      </c>
      <c r="DP6" s="48">
        <v>2545264</v>
      </c>
      <c r="DQ6" s="51">
        <v>29186486</v>
      </c>
      <c r="DR6" s="48">
        <v>17138756</v>
      </c>
      <c r="DS6" s="51">
        <v>5002100</v>
      </c>
      <c r="DT6" s="48">
        <v>6632263</v>
      </c>
      <c r="DU6" s="51">
        <v>24281433</v>
      </c>
      <c r="DV6" s="48">
        <v>206606300</v>
      </c>
      <c r="DW6" s="51">
        <v>2083365</v>
      </c>
      <c r="DX6" s="48">
        <v>5425471</v>
      </c>
      <c r="DY6" s="51">
        <v>5118446</v>
      </c>
      <c r="DZ6" s="48">
        <v>221295851</v>
      </c>
      <c r="EA6" s="51">
        <v>5112340</v>
      </c>
      <c r="EB6" s="48">
        <v>8963009</v>
      </c>
      <c r="EC6" s="51">
        <v>7141091</v>
      </c>
      <c r="ED6" s="48">
        <v>33016319</v>
      </c>
      <c r="EE6" s="51">
        <v>109722719</v>
      </c>
      <c r="EF6" s="48">
        <v>37842302</v>
      </c>
      <c r="EG6" s="51">
        <v>10193593</v>
      </c>
      <c r="EH6" s="48">
        <v>2807805</v>
      </c>
      <c r="EI6" s="51">
        <v>19224023</v>
      </c>
      <c r="EJ6" s="48">
        <v>145940924</v>
      </c>
      <c r="EK6" s="51">
        <v>12981546</v>
      </c>
      <c r="EL6" s="48">
        <v>53237</v>
      </c>
      <c r="EM6" s="51">
        <v>183712</v>
      </c>
      <c r="EN6" s="53">
        <v>104000</v>
      </c>
      <c r="EO6" s="51">
        <v>33938</v>
      </c>
      <c r="EP6" s="48">
        <v>219544</v>
      </c>
      <c r="EQ6" s="51">
        <v>34865919</v>
      </c>
      <c r="ER6" s="48">
        <v>16783877</v>
      </c>
      <c r="ES6" s="51">
        <v>8733665</v>
      </c>
      <c r="ET6" s="48">
        <v>98408</v>
      </c>
      <c r="EU6" s="51">
        <v>7992169</v>
      </c>
      <c r="EV6" s="48">
        <v>5854932</v>
      </c>
      <c r="EW6" s="51">
        <v>5459915</v>
      </c>
      <c r="EX6" s="48">
        <v>2078968</v>
      </c>
      <c r="EY6" s="51">
        <v>15933012</v>
      </c>
      <c r="EZ6" s="48">
        <v>59381566</v>
      </c>
      <c r="FA6" s="51">
        <v>51273732</v>
      </c>
      <c r="FB6" s="48">
        <v>11206572</v>
      </c>
      <c r="FC6" s="51">
        <v>46756648</v>
      </c>
      <c r="FD6" s="48">
        <v>21422362</v>
      </c>
      <c r="FE6" s="51">
        <v>43943536</v>
      </c>
      <c r="FF6" s="48">
        <v>587154</v>
      </c>
      <c r="FG6" s="51">
        <v>10105596</v>
      </c>
      <c r="FH6" s="48">
        <v>8660952</v>
      </c>
      <c r="FI6" s="51">
        <v>17539600</v>
      </c>
      <c r="FJ6" s="48">
        <v>23821199</v>
      </c>
      <c r="FK6" s="51">
        <v>9557468</v>
      </c>
      <c r="FL6" s="48">
        <v>59886383</v>
      </c>
      <c r="FM6" s="51">
        <v>69817894</v>
      </c>
      <c r="FN6" s="48">
        <v>1320812</v>
      </c>
      <c r="FO6" s="51">
        <v>8296582</v>
      </c>
      <c r="FP6" s="48">
        <v>1399950</v>
      </c>
      <c r="FQ6" s="51">
        <v>11830801</v>
      </c>
      <c r="FR6" s="48">
        <v>84428331</v>
      </c>
      <c r="FS6" s="51">
        <v>331198130</v>
      </c>
      <c r="FT6" s="48">
        <v>45867852</v>
      </c>
      <c r="FU6" s="51">
        <v>43705858</v>
      </c>
      <c r="FV6" s="48">
        <v>9902079</v>
      </c>
      <c r="FW6" s="51">
        <v>67922029</v>
      </c>
      <c r="FX6" s="48">
        <v>3474956</v>
      </c>
      <c r="FY6" s="51">
        <v>33516027</v>
      </c>
      <c r="FZ6" s="48">
        <v>28427499</v>
      </c>
      <c r="GA6" s="51">
        <v>97425470</v>
      </c>
      <c r="GB6" s="53">
        <v>4800000</v>
      </c>
      <c r="GC6" s="51">
        <v>598682</v>
      </c>
      <c r="GD6" s="48">
        <v>29886897</v>
      </c>
      <c r="GE6" s="51">
        <v>18430129</v>
      </c>
      <c r="GF6" s="57">
        <v>14883803</v>
      </c>
    </row>
    <row r="7" spans="1:188" x14ac:dyDescent="0.3">
      <c r="A7" s="66" t="s">
        <v>38</v>
      </c>
      <c r="B7" s="47" t="s">
        <v>26</v>
      </c>
      <c r="C7" s="50" t="s">
        <v>28</v>
      </c>
      <c r="D7" s="47" t="s">
        <v>25</v>
      </c>
      <c r="E7" s="50" t="s">
        <v>28</v>
      </c>
      <c r="F7" s="47" t="s">
        <v>25</v>
      </c>
      <c r="G7" s="50" t="s">
        <v>29</v>
      </c>
      <c r="H7" s="47" t="s">
        <v>30</v>
      </c>
      <c r="I7" s="50" t="s">
        <v>26</v>
      </c>
      <c r="J7" s="47" t="s">
        <v>27</v>
      </c>
      <c r="K7" s="50" t="s">
        <v>28</v>
      </c>
      <c r="L7" s="47" t="s">
        <v>26</v>
      </c>
      <c r="M7" s="50" t="s">
        <v>29</v>
      </c>
      <c r="N7" s="47" t="s">
        <v>26</v>
      </c>
      <c r="O7" s="50" t="s">
        <v>26</v>
      </c>
      <c r="P7" s="47" t="s">
        <v>29</v>
      </c>
      <c r="Q7" s="50" t="s">
        <v>28</v>
      </c>
      <c r="R7" s="47" t="s">
        <v>28</v>
      </c>
      <c r="S7" s="50" t="s">
        <v>29</v>
      </c>
      <c r="T7" s="47" t="s">
        <v>25</v>
      </c>
      <c r="U7" s="50" t="s">
        <v>26</v>
      </c>
      <c r="V7" s="47" t="s">
        <v>30</v>
      </c>
      <c r="W7" s="50" t="s">
        <v>28</v>
      </c>
      <c r="X7" s="47" t="s">
        <v>25</v>
      </c>
      <c r="Y7" s="50" t="s">
        <v>30</v>
      </c>
      <c r="Z7" s="47" t="s">
        <v>26</v>
      </c>
      <c r="AA7" s="50" t="s">
        <v>28</v>
      </c>
      <c r="AB7" s="47" t="s">
        <v>25</v>
      </c>
      <c r="AC7" s="50" t="s">
        <v>26</v>
      </c>
      <c r="AD7" s="47" t="s">
        <v>25</v>
      </c>
      <c r="AE7" s="50" t="s">
        <v>25</v>
      </c>
      <c r="AF7" s="47" t="s">
        <v>26</v>
      </c>
      <c r="AG7" s="50" t="s">
        <v>25</v>
      </c>
      <c r="AH7" s="47" t="s">
        <v>29</v>
      </c>
      <c r="AI7" s="50" t="s">
        <v>25</v>
      </c>
      <c r="AJ7" s="47" t="s">
        <v>25</v>
      </c>
      <c r="AK7" s="50" t="s">
        <v>30</v>
      </c>
      <c r="AL7" s="47" t="s">
        <v>25</v>
      </c>
      <c r="AM7" s="50" t="s">
        <v>30</v>
      </c>
      <c r="AN7" s="47" t="s">
        <v>25</v>
      </c>
      <c r="AO7" s="50" t="s">
        <v>25</v>
      </c>
      <c r="AP7" s="47" t="s">
        <v>25</v>
      </c>
      <c r="AQ7" s="50" t="s">
        <v>29</v>
      </c>
      <c r="AR7" s="47" t="s">
        <v>25</v>
      </c>
      <c r="AS7" s="50" t="s">
        <v>28</v>
      </c>
      <c r="AT7" s="47" t="s">
        <v>29</v>
      </c>
      <c r="AU7" s="50" t="s">
        <v>26</v>
      </c>
      <c r="AV7" s="47" t="s">
        <v>28</v>
      </c>
      <c r="AW7" s="50" t="s">
        <v>28</v>
      </c>
      <c r="AX7" s="47" t="s">
        <v>25</v>
      </c>
      <c r="AY7" s="50" t="s">
        <v>29</v>
      </c>
      <c r="AZ7" s="47" t="s">
        <v>29</v>
      </c>
      <c r="BA7" s="50" t="s">
        <v>30</v>
      </c>
      <c r="BB7" s="47" t="s">
        <v>25</v>
      </c>
      <c r="BC7" s="50" t="s">
        <v>29</v>
      </c>
      <c r="BD7" s="47" t="s">
        <v>25</v>
      </c>
      <c r="BE7" s="50" t="s">
        <v>25</v>
      </c>
      <c r="BF7" s="47" t="s">
        <v>28</v>
      </c>
      <c r="BG7" s="50" t="s">
        <v>25</v>
      </c>
      <c r="BH7" s="47" t="s">
        <v>25</v>
      </c>
      <c r="BI7" s="50" t="s">
        <v>27</v>
      </c>
      <c r="BJ7" s="47" t="s">
        <v>28</v>
      </c>
      <c r="BK7" s="50" t="s">
        <v>28</v>
      </c>
      <c r="BL7" s="47" t="s">
        <v>25</v>
      </c>
      <c r="BM7" s="50" t="s">
        <v>25</v>
      </c>
      <c r="BN7" s="47" t="s">
        <v>26</v>
      </c>
      <c r="BO7" s="50" t="s">
        <v>28</v>
      </c>
      <c r="BP7" s="47" t="s">
        <v>25</v>
      </c>
      <c r="BQ7" s="50" t="s">
        <v>28</v>
      </c>
      <c r="BR7" s="47" t="s">
        <v>29</v>
      </c>
      <c r="BS7" s="50" t="s">
        <v>29</v>
      </c>
      <c r="BT7" s="47" t="s">
        <v>29</v>
      </c>
      <c r="BU7" s="50" t="s">
        <v>25</v>
      </c>
      <c r="BV7" s="47" t="s">
        <v>25</v>
      </c>
      <c r="BW7" s="50" t="s">
        <v>30</v>
      </c>
      <c r="BX7" s="47" t="s">
        <v>29</v>
      </c>
      <c r="BY7" s="50" t="s">
        <v>28</v>
      </c>
      <c r="BZ7" s="47" t="s">
        <v>29</v>
      </c>
      <c r="CA7" s="50" t="s">
        <v>28</v>
      </c>
      <c r="CB7" s="47" t="s">
        <v>28</v>
      </c>
      <c r="CC7" s="50" t="s">
        <v>26</v>
      </c>
      <c r="CD7" s="47" t="s">
        <v>26</v>
      </c>
      <c r="CE7" s="50" t="s">
        <v>26</v>
      </c>
      <c r="CF7" s="47" t="s">
        <v>26</v>
      </c>
      <c r="CG7" s="50" t="s">
        <v>28</v>
      </c>
      <c r="CH7" s="47" t="s">
        <v>26</v>
      </c>
      <c r="CI7" s="50" t="s">
        <v>28</v>
      </c>
      <c r="CJ7" s="47" t="s">
        <v>29</v>
      </c>
      <c r="CK7" s="50" t="s">
        <v>26</v>
      </c>
      <c r="CL7" s="47" t="s">
        <v>26</v>
      </c>
      <c r="CM7" s="50" t="s">
        <v>26</v>
      </c>
      <c r="CN7" s="47" t="s">
        <v>25</v>
      </c>
      <c r="CO7" s="50" t="s">
        <v>28</v>
      </c>
      <c r="CP7" s="47" t="s">
        <v>26</v>
      </c>
      <c r="CQ7" s="50" t="s">
        <v>26</v>
      </c>
      <c r="CR7" s="47" t="s">
        <v>26</v>
      </c>
      <c r="CS7" s="50" t="s">
        <v>28</v>
      </c>
      <c r="CT7" s="47" t="s">
        <v>26</v>
      </c>
      <c r="CU7" s="50" t="s">
        <v>25</v>
      </c>
      <c r="CV7" s="47" t="s">
        <v>25</v>
      </c>
      <c r="CW7" s="50" t="s">
        <v>25</v>
      </c>
      <c r="CX7" s="47" t="s">
        <v>28</v>
      </c>
      <c r="CY7" s="50" t="s">
        <v>28</v>
      </c>
      <c r="CZ7" s="47" t="s">
        <v>28</v>
      </c>
      <c r="DA7" s="50" t="s">
        <v>25</v>
      </c>
      <c r="DB7" s="47" t="s">
        <v>25</v>
      </c>
      <c r="DC7" s="50" t="s">
        <v>26</v>
      </c>
      <c r="DD7" s="47" t="s">
        <v>26</v>
      </c>
      <c r="DE7" s="50" t="s">
        <v>25</v>
      </c>
      <c r="DF7" s="47" t="s">
        <v>28</v>
      </c>
      <c r="DG7" s="50" t="s">
        <v>25</v>
      </c>
      <c r="DH7" s="47" t="s">
        <v>25</v>
      </c>
      <c r="DI7" s="50" t="s">
        <v>29</v>
      </c>
      <c r="DJ7" s="47" t="s">
        <v>28</v>
      </c>
      <c r="DK7" s="50" t="s">
        <v>28</v>
      </c>
      <c r="DL7" s="47" t="s">
        <v>26</v>
      </c>
      <c r="DM7" s="50" t="s">
        <v>28</v>
      </c>
      <c r="DN7" s="47" t="s">
        <v>25</v>
      </c>
      <c r="DO7" s="50" t="s">
        <v>25</v>
      </c>
      <c r="DP7" s="47" t="s">
        <v>25</v>
      </c>
      <c r="DQ7" s="50" t="s">
        <v>26</v>
      </c>
      <c r="DR7" s="47" t="s">
        <v>28</v>
      </c>
      <c r="DS7" s="50" t="s">
        <v>27</v>
      </c>
      <c r="DT7" s="47" t="s">
        <v>29</v>
      </c>
      <c r="DU7" s="50" t="s">
        <v>25</v>
      </c>
      <c r="DV7" s="47" t="s">
        <v>25</v>
      </c>
      <c r="DW7" s="50" t="s">
        <v>28</v>
      </c>
      <c r="DX7" s="47" t="s">
        <v>28</v>
      </c>
      <c r="DY7" s="50" t="s">
        <v>26</v>
      </c>
      <c r="DZ7" s="47" t="s">
        <v>26</v>
      </c>
      <c r="EA7" s="50" t="s">
        <v>26</v>
      </c>
      <c r="EB7" s="47" t="s">
        <v>27</v>
      </c>
      <c r="EC7" s="50" t="s">
        <v>30</v>
      </c>
      <c r="ED7" s="47" t="s">
        <v>30</v>
      </c>
      <c r="EE7" s="50" t="s">
        <v>26</v>
      </c>
      <c r="EF7" s="47" t="s">
        <v>28</v>
      </c>
      <c r="EG7" s="50" t="s">
        <v>28</v>
      </c>
      <c r="EH7" s="47" t="s">
        <v>26</v>
      </c>
      <c r="EI7" s="50" t="s">
        <v>28</v>
      </c>
      <c r="EJ7" s="47" t="s">
        <v>28</v>
      </c>
      <c r="EK7" s="50" t="s">
        <v>25</v>
      </c>
      <c r="EL7" s="47" t="s">
        <v>29</v>
      </c>
      <c r="EM7" s="50" t="s">
        <v>29</v>
      </c>
      <c r="EN7" s="47" t="s">
        <v>29</v>
      </c>
      <c r="EO7" s="50" t="s">
        <v>28</v>
      </c>
      <c r="EP7" s="47" t="s">
        <v>25</v>
      </c>
      <c r="EQ7" s="50" t="s">
        <v>26</v>
      </c>
      <c r="ER7" s="47" t="s">
        <v>25</v>
      </c>
      <c r="ES7" s="50" t="s">
        <v>28</v>
      </c>
      <c r="ET7" s="47" t="s">
        <v>25</v>
      </c>
      <c r="EU7" s="50" t="s">
        <v>25</v>
      </c>
      <c r="EV7" s="47" t="s">
        <v>26</v>
      </c>
      <c r="EW7" s="50" t="s">
        <v>28</v>
      </c>
      <c r="EX7" s="47" t="s">
        <v>28</v>
      </c>
      <c r="EY7" s="50" t="s">
        <v>25</v>
      </c>
      <c r="EZ7" s="47" t="s">
        <v>25</v>
      </c>
      <c r="FA7" s="50" t="s">
        <v>26</v>
      </c>
      <c r="FB7" s="47" t="s">
        <v>25</v>
      </c>
      <c r="FC7" s="50" t="s">
        <v>28</v>
      </c>
      <c r="FD7" s="47" t="s">
        <v>26</v>
      </c>
      <c r="FE7" s="50" t="s">
        <v>25</v>
      </c>
      <c r="FF7" s="47" t="s">
        <v>30</v>
      </c>
      <c r="FG7" s="50" t="s">
        <v>28</v>
      </c>
      <c r="FH7" s="47" t="s">
        <v>28</v>
      </c>
      <c r="FI7" s="50" t="s">
        <v>26</v>
      </c>
      <c r="FJ7" s="47" t="s">
        <v>26</v>
      </c>
      <c r="FK7" s="50" t="s">
        <v>26</v>
      </c>
      <c r="FL7" s="47" t="s">
        <v>25</v>
      </c>
      <c r="FM7" s="50" t="s">
        <v>26</v>
      </c>
      <c r="FN7" s="47" t="s">
        <v>26</v>
      </c>
      <c r="FO7" s="50" t="s">
        <v>25</v>
      </c>
      <c r="FP7" s="47" t="s">
        <v>29</v>
      </c>
      <c r="FQ7" s="50" t="s">
        <v>25</v>
      </c>
      <c r="FR7" s="47" t="s">
        <v>26</v>
      </c>
      <c r="FS7" s="50" t="s">
        <v>29</v>
      </c>
      <c r="FT7" s="47" t="s">
        <v>25</v>
      </c>
      <c r="FU7" s="50" t="s">
        <v>28</v>
      </c>
      <c r="FV7" s="47" t="s">
        <v>26</v>
      </c>
      <c r="FW7" s="50" t="s">
        <v>28</v>
      </c>
      <c r="FX7" s="47" t="s">
        <v>30</v>
      </c>
      <c r="FY7" s="50" t="s">
        <v>26</v>
      </c>
      <c r="FZ7" s="47" t="s">
        <v>30</v>
      </c>
      <c r="GA7" s="50" t="s">
        <v>26</v>
      </c>
      <c r="GB7" s="47" t="s">
        <v>26</v>
      </c>
      <c r="GC7" s="50" t="s">
        <v>25</v>
      </c>
      <c r="GD7" s="47" t="s">
        <v>26</v>
      </c>
      <c r="GE7" s="50" t="s">
        <v>25</v>
      </c>
      <c r="GF7" s="56" t="s">
        <v>25</v>
      </c>
    </row>
    <row r="8" spans="1:188" x14ac:dyDescent="0.3">
      <c r="A8" s="68" t="s">
        <v>39</v>
      </c>
      <c r="B8" s="49">
        <v>43885</v>
      </c>
      <c r="C8" s="52">
        <v>43899</v>
      </c>
      <c r="D8" s="49">
        <v>43886</v>
      </c>
      <c r="E8" s="52">
        <v>43892</v>
      </c>
      <c r="F8" s="49">
        <v>43911</v>
      </c>
      <c r="G8" s="52">
        <v>43903</v>
      </c>
      <c r="H8" s="49">
        <v>43893</v>
      </c>
      <c r="I8" s="52">
        <v>43891</v>
      </c>
      <c r="J8" s="49">
        <v>43855</v>
      </c>
      <c r="K8" s="52">
        <v>43886</v>
      </c>
      <c r="L8" s="49">
        <v>43889</v>
      </c>
      <c r="M8" s="52">
        <v>43905</v>
      </c>
      <c r="N8" s="49">
        <v>43882</v>
      </c>
      <c r="O8" s="52">
        <v>43898</v>
      </c>
      <c r="P8" s="49">
        <v>43907</v>
      </c>
      <c r="Q8" s="52">
        <v>43889</v>
      </c>
      <c r="R8" s="49">
        <v>43865</v>
      </c>
      <c r="S8" s="52">
        <v>43913</v>
      </c>
      <c r="T8" s="49">
        <v>43906</v>
      </c>
      <c r="U8" s="52">
        <v>43896</v>
      </c>
      <c r="V8" s="49">
        <v>43900</v>
      </c>
      <c r="W8" s="52">
        <v>43895</v>
      </c>
      <c r="X8" s="49">
        <v>43920</v>
      </c>
      <c r="Y8" s="52">
        <v>43887</v>
      </c>
      <c r="Z8" s="49">
        <v>43899</v>
      </c>
      <c r="AA8" s="52">
        <v>43898</v>
      </c>
      <c r="AB8" s="49">
        <v>43899</v>
      </c>
      <c r="AC8" s="52">
        <v>43913</v>
      </c>
      <c r="AD8" s="49">
        <v>43921</v>
      </c>
      <c r="AE8" s="52">
        <v>43910</v>
      </c>
      <c r="AF8" s="49">
        <v>43857</v>
      </c>
      <c r="AG8" s="52">
        <v>43896</v>
      </c>
      <c r="AH8" s="49">
        <v>43855</v>
      </c>
      <c r="AI8" s="52">
        <v>43904</v>
      </c>
      <c r="AJ8" s="49">
        <v>43909</v>
      </c>
      <c r="AK8" s="52">
        <v>43893</v>
      </c>
      <c r="AL8" s="49">
        <v>43786</v>
      </c>
      <c r="AM8" s="52">
        <v>43896</v>
      </c>
      <c r="AN8" s="49">
        <v>43951</v>
      </c>
      <c r="AO8" s="52">
        <v>43904</v>
      </c>
      <c r="AP8" s="49">
        <v>43900</v>
      </c>
      <c r="AQ8" s="52">
        <v>43896</v>
      </c>
      <c r="AR8" s="49">
        <v>43901</v>
      </c>
      <c r="AS8" s="52">
        <v>43886</v>
      </c>
      <c r="AT8" s="49">
        <v>43901</v>
      </c>
      <c r="AU8" s="52">
        <v>43899</v>
      </c>
      <c r="AV8" s="49">
        <v>43891</v>
      </c>
      <c r="AW8" s="52">
        <v>43888</v>
      </c>
      <c r="AX8" s="49">
        <v>43908</v>
      </c>
      <c r="AY8" s="52">
        <v>43912</v>
      </c>
      <c r="AZ8" s="49">
        <v>43891</v>
      </c>
      <c r="BA8" s="52">
        <v>43890</v>
      </c>
      <c r="BB8" s="49">
        <v>43875</v>
      </c>
      <c r="BC8" s="52">
        <v>43909</v>
      </c>
      <c r="BD8" s="49">
        <v>43904</v>
      </c>
      <c r="BE8" s="52">
        <v>43911</v>
      </c>
      <c r="BF8" s="49">
        <v>43888</v>
      </c>
      <c r="BG8" s="52">
        <v>43904</v>
      </c>
      <c r="BH8" s="49">
        <v>43903</v>
      </c>
      <c r="BI8" s="52">
        <v>43909</v>
      </c>
      <c r="BJ8" s="49">
        <v>43887</v>
      </c>
      <c r="BK8" s="52">
        <v>43826</v>
      </c>
      <c r="BL8" s="49">
        <v>43902</v>
      </c>
      <c r="BM8" s="52">
        <v>43907</v>
      </c>
      <c r="BN8" s="49">
        <v>43887</v>
      </c>
      <c r="BO8" s="52">
        <v>43857</v>
      </c>
      <c r="BP8" s="49">
        <v>43902</v>
      </c>
      <c r="BQ8" s="52">
        <v>43887</v>
      </c>
      <c r="BR8" s="49">
        <v>43898</v>
      </c>
      <c r="BS8" s="52">
        <v>43912</v>
      </c>
      <c r="BT8" s="49">
        <v>43903</v>
      </c>
      <c r="BU8" s="52">
        <v>43903</v>
      </c>
      <c r="BV8" s="49">
        <v>43915</v>
      </c>
      <c r="BW8" s="52">
        <v>43902</v>
      </c>
      <c r="BX8" s="49">
        <v>43909</v>
      </c>
      <c r="BY8" s="52">
        <v>43912</v>
      </c>
      <c r="BZ8" s="49">
        <v>43907</v>
      </c>
      <c r="CA8" s="52">
        <v>43894</v>
      </c>
      <c r="CB8" s="49">
        <v>43889</v>
      </c>
      <c r="CC8" s="52">
        <v>43860</v>
      </c>
      <c r="CD8" s="49">
        <v>43892</v>
      </c>
      <c r="CE8" s="52">
        <v>43880</v>
      </c>
      <c r="CF8" s="49">
        <v>43883</v>
      </c>
      <c r="CG8" s="52">
        <v>43890</v>
      </c>
      <c r="CH8" s="49">
        <v>43882</v>
      </c>
      <c r="CI8" s="52">
        <v>43861</v>
      </c>
      <c r="CJ8" s="49">
        <v>43900</v>
      </c>
      <c r="CK8" s="52">
        <v>43846</v>
      </c>
      <c r="CL8" s="49">
        <v>43892</v>
      </c>
      <c r="CM8" s="52">
        <v>43903</v>
      </c>
      <c r="CN8" s="49">
        <v>43903</v>
      </c>
      <c r="CO8" s="52">
        <v>43903</v>
      </c>
      <c r="CP8" s="49">
        <v>43885</v>
      </c>
      <c r="CQ8" s="52">
        <v>43908</v>
      </c>
      <c r="CR8" s="49">
        <v>43914</v>
      </c>
      <c r="CS8" s="52">
        <v>43892</v>
      </c>
      <c r="CT8" s="49">
        <v>43882</v>
      </c>
      <c r="CU8" s="52">
        <v>43964</v>
      </c>
      <c r="CV8" s="49">
        <v>43906</v>
      </c>
      <c r="CW8" s="52">
        <v>43914</v>
      </c>
      <c r="CX8" s="49">
        <v>43893</v>
      </c>
      <c r="CY8" s="52">
        <v>43889</v>
      </c>
      <c r="CZ8" s="49">
        <v>43890</v>
      </c>
      <c r="DA8" s="52">
        <v>43910</v>
      </c>
      <c r="DB8" s="49">
        <v>43922</v>
      </c>
      <c r="DC8" s="52">
        <v>43855</v>
      </c>
      <c r="DD8" s="49">
        <v>43897</v>
      </c>
      <c r="DE8" s="52">
        <v>43915</v>
      </c>
      <c r="DF8" s="49">
        <v>43897</v>
      </c>
      <c r="DG8" s="52">
        <v>43903</v>
      </c>
      <c r="DH8" s="49">
        <v>43908</v>
      </c>
      <c r="DI8" s="52">
        <v>43889</v>
      </c>
      <c r="DJ8" s="49">
        <v>43897</v>
      </c>
      <c r="DK8" s="52">
        <v>43890</v>
      </c>
      <c r="DL8" s="49">
        <v>43900</v>
      </c>
      <c r="DM8" s="52">
        <v>43907</v>
      </c>
      <c r="DN8" s="49">
        <v>43892</v>
      </c>
      <c r="DO8" s="52">
        <v>43912</v>
      </c>
      <c r="DP8" s="49">
        <v>43904</v>
      </c>
      <c r="DQ8" s="52">
        <v>43843</v>
      </c>
      <c r="DR8" s="49">
        <v>43888</v>
      </c>
      <c r="DS8" s="52">
        <v>43889</v>
      </c>
      <c r="DT8" s="49">
        <v>43908</v>
      </c>
      <c r="DU8" s="52">
        <v>43909</v>
      </c>
      <c r="DV8" s="49">
        <v>43888</v>
      </c>
      <c r="DW8" s="52">
        <v>43887</v>
      </c>
      <c r="DX8" s="49">
        <v>43887</v>
      </c>
      <c r="DY8" s="52">
        <v>43885</v>
      </c>
      <c r="DZ8" s="49">
        <v>43887</v>
      </c>
      <c r="EA8" s="52">
        <v>43899</v>
      </c>
      <c r="EB8" s="49">
        <v>43910</v>
      </c>
      <c r="EC8" s="52">
        <v>43897</v>
      </c>
      <c r="ED8" s="49">
        <v>43896</v>
      </c>
      <c r="EE8" s="52">
        <v>43860</v>
      </c>
      <c r="EF8" s="49">
        <v>43894</v>
      </c>
      <c r="EG8" s="52">
        <v>43892</v>
      </c>
      <c r="EH8" s="49">
        <v>43888</v>
      </c>
      <c r="EI8" s="52">
        <v>43887</v>
      </c>
      <c r="EJ8" s="49">
        <v>43861</v>
      </c>
      <c r="EK8" s="52">
        <v>43904</v>
      </c>
      <c r="EL8" s="49">
        <v>43914</v>
      </c>
      <c r="EM8" s="52">
        <v>43903</v>
      </c>
      <c r="EN8" s="49">
        <v>43901</v>
      </c>
      <c r="EO8" s="52">
        <v>43888</v>
      </c>
      <c r="EP8" s="49">
        <v>43927</v>
      </c>
      <c r="EQ8" s="52">
        <v>43892</v>
      </c>
      <c r="ER8" s="49">
        <v>43892</v>
      </c>
      <c r="ES8" s="52">
        <v>43896</v>
      </c>
      <c r="ET8" s="49">
        <v>43904</v>
      </c>
      <c r="EU8" s="52">
        <v>43921</v>
      </c>
      <c r="EV8" s="49">
        <v>43853</v>
      </c>
      <c r="EW8" s="52">
        <v>43896</v>
      </c>
      <c r="EX8" s="49">
        <v>43894</v>
      </c>
      <c r="EY8" s="52">
        <v>43906</v>
      </c>
      <c r="EZ8" s="49">
        <v>43895</v>
      </c>
      <c r="FA8" s="52">
        <v>43850</v>
      </c>
      <c r="FB8" s="49">
        <v>43926</v>
      </c>
      <c r="FC8" s="52">
        <v>43861</v>
      </c>
      <c r="FD8" s="49">
        <v>43857</v>
      </c>
      <c r="FE8" s="52">
        <v>43903</v>
      </c>
      <c r="FF8" s="49">
        <v>43903</v>
      </c>
      <c r="FG8" s="52">
        <v>43861</v>
      </c>
      <c r="FH8" s="49">
        <v>43886</v>
      </c>
      <c r="FI8" s="52">
        <v>43912</v>
      </c>
      <c r="FJ8" s="49">
        <v>43851</v>
      </c>
      <c r="FK8" s="52">
        <v>43951</v>
      </c>
      <c r="FL8" s="49">
        <v>43906</v>
      </c>
      <c r="FM8" s="52">
        <v>43843</v>
      </c>
      <c r="FN8" s="49">
        <v>43911</v>
      </c>
      <c r="FO8" s="52">
        <v>43896</v>
      </c>
      <c r="FP8" s="49">
        <v>43902</v>
      </c>
      <c r="FQ8" s="52">
        <v>43892</v>
      </c>
      <c r="FR8" s="49">
        <v>43901</v>
      </c>
      <c r="FS8" s="52">
        <v>43851</v>
      </c>
      <c r="FT8" s="49">
        <v>43912</v>
      </c>
      <c r="FU8" s="52">
        <v>43893</v>
      </c>
      <c r="FV8" s="49">
        <v>43859</v>
      </c>
      <c r="FW8" s="52">
        <v>43861</v>
      </c>
      <c r="FX8" s="49">
        <v>43903</v>
      </c>
      <c r="FY8" s="52">
        <v>43905</v>
      </c>
      <c r="FZ8" s="49">
        <v>43903</v>
      </c>
      <c r="GA8" s="52">
        <v>43853</v>
      </c>
      <c r="GB8" s="49">
        <v>43895</v>
      </c>
      <c r="GC8" s="52">
        <v>43925</v>
      </c>
      <c r="GD8" s="49">
        <v>43931</v>
      </c>
      <c r="GE8" s="52">
        <v>43908</v>
      </c>
      <c r="GF8" s="58">
        <v>43911</v>
      </c>
    </row>
    <row r="9" spans="1:188" x14ac:dyDescent="0.3">
      <c r="A9" s="69" t="s">
        <v>40</v>
      </c>
      <c r="B9" s="70">
        <f t="shared" ref="B9:AG9" si="0">B3/B2</f>
        <v>3.4994346854920991E-2</v>
      </c>
      <c r="C9" s="70">
        <f t="shared" si="0"/>
        <v>2.9508196721311476E-2</v>
      </c>
      <c r="D9" s="70">
        <f t="shared" si="0"/>
        <v>4.1575805240767885E-2</v>
      </c>
      <c r="E9" s="70">
        <f t="shared" si="0"/>
        <v>5.7331863285556783E-2</v>
      </c>
      <c r="F9" s="70">
        <f t="shared" si="0"/>
        <v>4.3157894736842103E-2</v>
      </c>
      <c r="G9" s="70">
        <f t="shared" si="0"/>
        <v>3.4883720930232558E-2</v>
      </c>
      <c r="H9" s="70">
        <f t="shared" si="0"/>
        <v>1.8271849763463469E-2</v>
      </c>
      <c r="I9" s="70">
        <f t="shared" si="0"/>
        <v>1.901577962021931E-2</v>
      </c>
      <c r="J9" s="70">
        <f t="shared" si="0"/>
        <v>1.0912892896817617E-2</v>
      </c>
      <c r="K9" s="70">
        <f t="shared" si="0"/>
        <v>3.4682362097480303E-2</v>
      </c>
      <c r="L9" s="70">
        <f t="shared" si="0"/>
        <v>1.389345069959929E-2</v>
      </c>
      <c r="M9" s="70">
        <f t="shared" si="0"/>
        <v>2.8795811518324606E-2</v>
      </c>
      <c r="N9" s="70">
        <f t="shared" si="0"/>
        <v>3.5712476571602247E-3</v>
      </c>
      <c r="O9" s="70">
        <f t="shared" si="0"/>
        <v>1.3106420598961211E-2</v>
      </c>
      <c r="P9" s="70">
        <f t="shared" si="0"/>
        <v>6.363636363636363E-2</v>
      </c>
      <c r="Q9" s="70">
        <f t="shared" si="0"/>
        <v>7.9998810426610764E-3</v>
      </c>
      <c r="R9" s="70">
        <f t="shared" si="0"/>
        <v>0.14785933642439936</v>
      </c>
      <c r="S9" s="70">
        <f t="shared" si="0"/>
        <v>4.1666666666666664E-2</v>
      </c>
      <c r="T9" s="70">
        <f t="shared" si="0"/>
        <v>1.977401129943503E-2</v>
      </c>
      <c r="U9" s="70">
        <f t="shared" si="0"/>
        <v>0</v>
      </c>
      <c r="V9" s="70">
        <f t="shared" si="0"/>
        <v>3.7186889759907839E-2</v>
      </c>
      <c r="W9" s="70">
        <f t="shared" si="0"/>
        <v>2.8005334349399887E-2</v>
      </c>
      <c r="X9" s="70">
        <f t="shared" si="0"/>
        <v>2.7063599458728013E-3</v>
      </c>
      <c r="Y9" s="70">
        <f t="shared" si="0"/>
        <v>3.5874097957930291E-2</v>
      </c>
      <c r="Z9" s="70">
        <f t="shared" si="0"/>
        <v>2.1276595744680851E-2</v>
      </c>
      <c r="AA9" s="70">
        <f t="shared" si="0"/>
        <v>3.2671123246398641E-2</v>
      </c>
      <c r="AB9" s="70">
        <f t="shared" si="0"/>
        <v>4.818181818181818E-2</v>
      </c>
      <c r="AC9" s="70">
        <f t="shared" si="0"/>
        <v>1.7142857142857144E-2</v>
      </c>
      <c r="AD9" s="70">
        <f t="shared" si="0"/>
        <v>2.6455026455026454E-3</v>
      </c>
      <c r="AE9" s="70">
        <f t="shared" si="0"/>
        <v>9.4501718213058413E-3</v>
      </c>
      <c r="AF9" s="70">
        <f t="shared" si="0"/>
        <v>0</v>
      </c>
      <c r="AG9" s="70">
        <f t="shared" si="0"/>
        <v>2.2852133255406196E-2</v>
      </c>
      <c r="AH9" s="70">
        <f t="shared" ref="AH9:BM9" si="1">AH3/AH2</f>
        <v>7.6800219821738305E-2</v>
      </c>
      <c r="AI9" s="70">
        <f t="shared" si="1"/>
        <v>1.2828875842574472E-2</v>
      </c>
      <c r="AJ9" s="70">
        <f t="shared" si="1"/>
        <v>8.1344902386117135E-2</v>
      </c>
      <c r="AK9" s="70">
        <f t="shared" si="1"/>
        <v>2.6405267832250241E-2</v>
      </c>
      <c r="AL9" s="70">
        <f t="shared" si="1"/>
        <v>5.365106069161011E-2</v>
      </c>
      <c r="AM9" s="70">
        <f t="shared" si="1"/>
        <v>3.4138334740043796E-2</v>
      </c>
      <c r="AN9" s="70">
        <f t="shared" si="1"/>
        <v>1.977401129943503E-2</v>
      </c>
      <c r="AO9" s="70">
        <f t="shared" si="1"/>
        <v>1.6875000000000001E-2</v>
      </c>
      <c r="AP9" s="70">
        <f t="shared" si="1"/>
        <v>2.3518769787426504E-2</v>
      </c>
      <c r="AQ9" s="70">
        <f t="shared" si="1"/>
        <v>7.2596426993245377E-3</v>
      </c>
      <c r="AR9" s="70">
        <f t="shared" si="1"/>
        <v>6.1322261258383902E-3</v>
      </c>
      <c r="AS9" s="70">
        <f t="shared" si="1"/>
        <v>2.8477770948576113E-2</v>
      </c>
      <c r="AT9" s="70">
        <f t="shared" si="1"/>
        <v>3.4360189573459717E-2</v>
      </c>
      <c r="AU9" s="70">
        <f t="shared" si="1"/>
        <v>1.7924528301886792E-2</v>
      </c>
      <c r="AV9" s="70">
        <f t="shared" si="1"/>
        <v>2.4039700953854087E-2</v>
      </c>
      <c r="AW9" s="70">
        <f t="shared" si="1"/>
        <v>4.454618123682872E-2</v>
      </c>
      <c r="AX9" s="70">
        <f t="shared" si="1"/>
        <v>1.1464716347104172E-2</v>
      </c>
      <c r="AY9" s="70">
        <f t="shared" si="1"/>
        <v>0</v>
      </c>
      <c r="AZ9" s="70">
        <f t="shared" si="1"/>
        <v>1.688072822495168E-2</v>
      </c>
      <c r="BA9" s="70">
        <f t="shared" si="1"/>
        <v>6.8160816155542689E-2</v>
      </c>
      <c r="BB9" s="70">
        <f t="shared" si="1"/>
        <v>5.0301680326982547E-2</v>
      </c>
      <c r="BC9" s="70">
        <f t="shared" si="1"/>
        <v>2.7136681077485868E-2</v>
      </c>
      <c r="BD9" s="70">
        <f t="shared" si="1"/>
        <v>1.6606968414197329E-2</v>
      </c>
      <c r="BE9" s="70">
        <f t="shared" si="1"/>
        <v>0</v>
      </c>
      <c r="BF9" s="70">
        <f t="shared" si="1"/>
        <v>3.3923303834808259E-2</v>
      </c>
      <c r="BG9" s="70">
        <f t="shared" si="1"/>
        <v>1.468048359240069E-2</v>
      </c>
      <c r="BH9" s="70">
        <f t="shared" si="1"/>
        <v>1.5673334708187256E-2</v>
      </c>
      <c r="BI9" s="70">
        <f t="shared" si="1"/>
        <v>0</v>
      </c>
      <c r="BJ9" s="70">
        <f t="shared" si="1"/>
        <v>4.4471478778048121E-2</v>
      </c>
      <c r="BK9" s="70">
        <f t="shared" si="1"/>
        <v>0.13710790008713331</v>
      </c>
      <c r="BL9" s="70">
        <f t="shared" si="1"/>
        <v>6.815968841285297E-3</v>
      </c>
      <c r="BM9" s="70">
        <f t="shared" si="1"/>
        <v>2.4539877300613498E-2</v>
      </c>
      <c r="BN9" s="70">
        <f t="shared" ref="BN9:CS9" si="2">BN3/BN2</f>
        <v>1.4072119613016711E-2</v>
      </c>
      <c r="BO9" s="70">
        <f t="shared" si="2"/>
        <v>4.4058287303487965E-2</v>
      </c>
      <c r="BP9" s="70">
        <f t="shared" si="2"/>
        <v>4.9964311206281229E-3</v>
      </c>
      <c r="BQ9" s="70">
        <f t="shared" si="2"/>
        <v>4.7788029335225926E-2</v>
      </c>
      <c r="BR9" s="70">
        <f t="shared" si="2"/>
        <v>0</v>
      </c>
      <c r="BS9" s="70">
        <f t="shared" si="2"/>
        <v>0</v>
      </c>
      <c r="BT9" s="70">
        <f t="shared" si="2"/>
        <v>3.8866450374097861E-2</v>
      </c>
      <c r="BU9" s="70">
        <f t="shared" si="2"/>
        <v>6.3784549964564135E-3</v>
      </c>
      <c r="BV9" s="70">
        <f t="shared" si="2"/>
        <v>1.3306038894575231E-2</v>
      </c>
      <c r="BW9" s="70">
        <f t="shared" si="2"/>
        <v>5.1413881748071981E-2</v>
      </c>
      <c r="BX9" s="70">
        <f t="shared" si="2"/>
        <v>2.1525885558583105E-2</v>
      </c>
      <c r="BY9" s="70">
        <f t="shared" si="2"/>
        <v>0</v>
      </c>
      <c r="BZ9" s="70">
        <f t="shared" si="2"/>
        <v>2.9339976346845827E-2</v>
      </c>
      <c r="CA9" s="70">
        <f t="shared" si="2"/>
        <v>0.13399280575539568</v>
      </c>
      <c r="CB9" s="70">
        <f t="shared" si="2"/>
        <v>5.3937432578209281E-3</v>
      </c>
      <c r="CC9" s="70">
        <f t="shared" si="2"/>
        <v>2.2571859631247918E-2</v>
      </c>
      <c r="CD9" s="70">
        <f t="shared" si="2"/>
        <v>4.8233851430166598E-2</v>
      </c>
      <c r="CE9" s="70">
        <f t="shared" si="2"/>
        <v>5.4195077757266542E-2</v>
      </c>
      <c r="CF9" s="70">
        <f t="shared" si="2"/>
        <v>3.9596749122884932E-2</v>
      </c>
      <c r="CG9" s="70">
        <f t="shared" si="2"/>
        <v>6.8129151861578863E-2</v>
      </c>
      <c r="CH9" s="70">
        <f t="shared" si="2"/>
        <v>7.407986246776588E-3</v>
      </c>
      <c r="CI9" s="70">
        <f t="shared" si="2"/>
        <v>0.14256595990027854</v>
      </c>
      <c r="CJ9" s="70">
        <f t="shared" si="2"/>
        <v>1.1723329425556858E-2</v>
      </c>
      <c r="CK9" s="70">
        <f t="shared" si="2"/>
        <v>3.2046753580373774E-2</v>
      </c>
      <c r="CL9" s="70">
        <f t="shared" si="2"/>
        <v>9.3537414965986394E-3</v>
      </c>
      <c r="CM9" s="70">
        <f t="shared" si="2"/>
        <v>6.9109724978735467E-3</v>
      </c>
      <c r="CN9" s="70">
        <f t="shared" si="2"/>
        <v>1.5855354659248956E-2</v>
      </c>
      <c r="CO9" s="70">
        <f t="shared" si="2"/>
        <v>2.4956158100634021E-2</v>
      </c>
      <c r="CP9" s="70">
        <f t="shared" si="2"/>
        <v>6.8034607558365304E-3</v>
      </c>
      <c r="CQ9" s="70">
        <f t="shared" si="2"/>
        <v>3.9073762614127823E-2</v>
      </c>
      <c r="CR9" s="70">
        <f t="shared" si="2"/>
        <v>0</v>
      </c>
      <c r="CS9" s="70">
        <f t="shared" si="2"/>
        <v>2.5430680885972109E-2</v>
      </c>
      <c r="CT9" s="70">
        <f t="shared" ref="CT9:DY9" si="3">CT3/CT2</f>
        <v>1.3137557959814529E-2</v>
      </c>
      <c r="CU9" s="70">
        <f t="shared" si="3"/>
        <v>2.3762376237623763E-2</v>
      </c>
      <c r="CV9" s="70">
        <f t="shared" si="3"/>
        <v>6.1696658097686374E-2</v>
      </c>
      <c r="CW9" s="70">
        <f t="shared" si="3"/>
        <v>2.2638839759462327E-2</v>
      </c>
      <c r="CX9" s="70">
        <f t="shared" si="3"/>
        <v>1.1627906976744186E-2</v>
      </c>
      <c r="CY9" s="70">
        <f t="shared" si="3"/>
        <v>3.9623576027736501E-2</v>
      </c>
      <c r="CZ9" s="70">
        <f t="shared" si="3"/>
        <v>1.7718715393133997E-2</v>
      </c>
      <c r="DA9" s="70">
        <f t="shared" si="3"/>
        <v>9.3911248710010324E-3</v>
      </c>
      <c r="DB9" s="70">
        <f t="shared" si="3"/>
        <v>2.7019650655021835E-2</v>
      </c>
      <c r="DC9" s="70">
        <f t="shared" si="3"/>
        <v>1.3926325247079964E-2</v>
      </c>
      <c r="DD9" s="70">
        <f t="shared" si="3"/>
        <v>4.4523597506678537E-3</v>
      </c>
      <c r="DE9" s="70">
        <f t="shared" si="3"/>
        <v>4.9343414245921209E-2</v>
      </c>
      <c r="DF9" s="70">
        <f t="shared" si="3"/>
        <v>1.2838801711840228E-2</v>
      </c>
      <c r="DG9" s="70">
        <f t="shared" si="3"/>
        <v>2.5128865979381444E-2</v>
      </c>
      <c r="DH9" s="70">
        <f t="shared" si="3"/>
        <v>2.9069767441860465E-2</v>
      </c>
      <c r="DI9" s="70">
        <f t="shared" si="3"/>
        <v>0.11131030193001576</v>
      </c>
      <c r="DJ9" s="70">
        <f t="shared" si="3"/>
        <v>3.2305433186490456E-2</v>
      </c>
      <c r="DK9" s="70">
        <f t="shared" si="3"/>
        <v>3.4482758620689655E-2</v>
      </c>
      <c r="DL9" s="70">
        <f t="shared" si="3"/>
        <v>0</v>
      </c>
      <c r="DM9" s="70">
        <f t="shared" si="3"/>
        <v>1.5554787417905289E-2</v>
      </c>
      <c r="DN9" s="70">
        <f t="shared" si="3"/>
        <v>1.5129027624838417E-2</v>
      </c>
      <c r="DO9" s="70">
        <f t="shared" si="3"/>
        <v>6.4667842445620223E-3</v>
      </c>
      <c r="DP9" s="70">
        <f t="shared" si="3"/>
        <v>4.3407487791644059E-3</v>
      </c>
      <c r="DQ9" s="70">
        <f t="shared" si="3"/>
        <v>2.5597269624573378E-3</v>
      </c>
      <c r="DR9" s="70">
        <f t="shared" si="3"/>
        <v>0.11532772920450078</v>
      </c>
      <c r="DS9" s="70">
        <f t="shared" si="3"/>
        <v>1.4129736673089274E-2</v>
      </c>
      <c r="DT9" s="70">
        <f t="shared" si="3"/>
        <v>3.1404478045943589E-2</v>
      </c>
      <c r="DU9" s="70">
        <f t="shared" si="3"/>
        <v>6.0954063604240286E-2</v>
      </c>
      <c r="DV9" s="70">
        <f t="shared" si="3"/>
        <v>2.0883924235065566E-2</v>
      </c>
      <c r="DW9" s="70">
        <f t="shared" si="3"/>
        <v>4.5628121022226575E-2</v>
      </c>
      <c r="DX9" s="70">
        <f t="shared" si="3"/>
        <v>2.7923784494086726E-2</v>
      </c>
      <c r="DY9" s="70">
        <f t="shared" si="3"/>
        <v>5.1000545043992833E-3</v>
      </c>
      <c r="DZ9" s="70">
        <f t="shared" ref="DZ9:FE9" si="4">DZ3/DZ2</f>
        <v>2.1298703192618004E-2</v>
      </c>
      <c r="EA9" s="70">
        <f t="shared" si="4"/>
        <v>2.1516226685329255E-2</v>
      </c>
      <c r="EB9" s="70">
        <f t="shared" si="4"/>
        <v>0</v>
      </c>
      <c r="EC9" s="70">
        <f t="shared" si="4"/>
        <v>9.4547053649956022E-3</v>
      </c>
      <c r="ED9" s="70">
        <f t="shared" si="4"/>
        <v>4.7259934773181564E-2</v>
      </c>
      <c r="EE9" s="70">
        <f t="shared" si="4"/>
        <v>2.370794734275963E-2</v>
      </c>
      <c r="EF9" s="70">
        <f t="shared" si="4"/>
        <v>3.8615731993917331E-2</v>
      </c>
      <c r="EG9" s="70">
        <f t="shared" si="4"/>
        <v>3.4175629734189548E-2</v>
      </c>
      <c r="EH9" s="70">
        <f t="shared" si="4"/>
        <v>1.5055156619250528E-3</v>
      </c>
      <c r="EI9" s="70">
        <f t="shared" si="4"/>
        <v>4.805890810857915E-2</v>
      </c>
      <c r="EJ9" s="70">
        <f t="shared" si="4"/>
        <v>1.6327080374197972E-2</v>
      </c>
      <c r="EK9" s="70">
        <f t="shared" si="4"/>
        <v>2.6609898882384245E-3</v>
      </c>
      <c r="EL9" s="70">
        <f t="shared" si="4"/>
        <v>0</v>
      </c>
      <c r="EM9" s="70">
        <f t="shared" si="4"/>
        <v>0</v>
      </c>
      <c r="EN9" s="70">
        <f t="shared" si="4"/>
        <v>0</v>
      </c>
      <c r="EO9" s="70">
        <f t="shared" si="4"/>
        <v>6.0085836909871244E-2</v>
      </c>
      <c r="EP9" s="70">
        <f t="shared" si="4"/>
        <v>1.6184971098265895E-2</v>
      </c>
      <c r="EQ9" s="70">
        <f t="shared" si="4"/>
        <v>1.0262741044271086E-2</v>
      </c>
      <c r="ER9" s="70">
        <f t="shared" si="4"/>
        <v>1.9868906185989348E-2</v>
      </c>
      <c r="ES9" s="70">
        <f t="shared" si="4"/>
        <v>2.2492854479930408E-2</v>
      </c>
      <c r="ET9" s="70">
        <f t="shared" si="4"/>
        <v>0</v>
      </c>
      <c r="EU9" s="70">
        <f t="shared" si="4"/>
        <v>3.7016264722378012E-2</v>
      </c>
      <c r="EV9" s="70">
        <f t="shared" si="4"/>
        <v>5.3109878437389356E-4</v>
      </c>
      <c r="EW9" s="70">
        <f t="shared" si="4"/>
        <v>1.2838147638697846E-2</v>
      </c>
      <c r="EX9" s="70">
        <f t="shared" si="4"/>
        <v>5.558217537134643E-2</v>
      </c>
      <c r="EY9" s="70">
        <f t="shared" si="4"/>
        <v>2.9098873591989989E-2</v>
      </c>
      <c r="EZ9" s="70">
        <f t="shared" si="4"/>
        <v>1.5616678710093718E-2</v>
      </c>
      <c r="FA9" s="70">
        <f t="shared" si="4"/>
        <v>2.1122298106033936E-2</v>
      </c>
      <c r="FB9" s="70">
        <f t="shared" si="4"/>
        <v>1.9956616052060738E-2</v>
      </c>
      <c r="FC9" s="70">
        <f t="shared" si="4"/>
        <v>0.10436787178668311</v>
      </c>
      <c r="FD9" s="70">
        <f t="shared" si="4"/>
        <v>3.9215686274509803E-3</v>
      </c>
      <c r="FE9" s="70">
        <f t="shared" si="4"/>
        <v>6.3025210084033612E-2</v>
      </c>
      <c r="FF9" s="70">
        <f t="shared" ref="FF9:GF9" si="5">FF3/FF2</f>
        <v>1.6183412002697236E-2</v>
      </c>
      <c r="FG9" s="70">
        <f t="shared" si="5"/>
        <v>7.1792934063857922E-2</v>
      </c>
      <c r="FH9" s="70">
        <f t="shared" si="5"/>
        <v>5.7371581054036024E-2</v>
      </c>
      <c r="FI9" s="70">
        <f t="shared" si="5"/>
        <v>5.9347181008902079E-2</v>
      </c>
      <c r="FJ9" s="70">
        <f t="shared" si="5"/>
        <v>1.5151515151515152E-2</v>
      </c>
      <c r="FK9" s="70">
        <f t="shared" si="5"/>
        <v>8.2930200414651004E-3</v>
      </c>
      <c r="FL9" s="70">
        <f t="shared" si="5"/>
        <v>4.1257367387033402E-2</v>
      </c>
      <c r="FM9" s="70">
        <f t="shared" si="5"/>
        <v>1.7591750075826508E-2</v>
      </c>
      <c r="FN9" s="70">
        <f t="shared" si="5"/>
        <v>0</v>
      </c>
      <c r="FO9" s="70">
        <f t="shared" si="5"/>
        <v>2.0594965675057208E-2</v>
      </c>
      <c r="FP9" s="70">
        <f t="shared" si="5"/>
        <v>5.4054054054054057E-2</v>
      </c>
      <c r="FQ9" s="70">
        <f t="shared" si="5"/>
        <v>3.4364261168384883E-2</v>
      </c>
      <c r="FR9" s="70">
        <f t="shared" si="5"/>
        <v>2.4799686369863315E-2</v>
      </c>
      <c r="FS9" s="70">
        <f t="shared" si="5"/>
        <v>3.4499315775574385E-2</v>
      </c>
      <c r="FT9" s="70">
        <f t="shared" si="5"/>
        <v>1.7730496453900709E-3</v>
      </c>
      <c r="FU9" s="70">
        <f t="shared" si="5"/>
        <v>2.4382973649695959E-2</v>
      </c>
      <c r="FV9" s="70">
        <f t="shared" si="5"/>
        <v>5.8299677239468037E-3</v>
      </c>
      <c r="FW9" s="70">
        <f t="shared" si="5"/>
        <v>0.15194824134593712</v>
      </c>
      <c r="FX9" s="70">
        <f t="shared" si="5"/>
        <v>2.9118136439267885E-2</v>
      </c>
      <c r="FY9" s="70">
        <f t="shared" si="5"/>
        <v>5.7051251827054551E-3</v>
      </c>
      <c r="FZ9" s="70">
        <f t="shared" si="5"/>
        <v>9.1318488866649981E-3</v>
      </c>
      <c r="GA9" s="70">
        <f t="shared" si="5"/>
        <v>0</v>
      </c>
      <c r="GB9" s="70">
        <f t="shared" si="5"/>
        <v>7.3439412484700125E-3</v>
      </c>
      <c r="GC9" s="70">
        <f t="shared" si="5"/>
        <v>0.1</v>
      </c>
      <c r="GD9" s="70">
        <f t="shared" si="5"/>
        <v>0.28562980484920164</v>
      </c>
      <c r="GE9" s="70">
        <f t="shared" si="5"/>
        <v>3.0755711775043937E-2</v>
      </c>
      <c r="GF9" s="70">
        <f t="shared" si="5"/>
        <v>1.3313609467455622E-2</v>
      </c>
    </row>
    <row r="10" spans="1:188" x14ac:dyDescent="0.3">
      <c r="A10" s="69" t="s">
        <v>41</v>
      </c>
      <c r="B10" s="70">
        <f t="shared" ref="B10:AG10" si="6">B4/B2</f>
        <v>0.69486804732096075</v>
      </c>
      <c r="C10" s="70">
        <f t="shared" si="6"/>
        <v>0.5625</v>
      </c>
      <c r="D10" s="70">
        <f t="shared" si="6"/>
        <v>0.67339934937260926</v>
      </c>
      <c r="E10" s="70">
        <f t="shared" si="6"/>
        <v>0.88533627342888643</v>
      </c>
      <c r="F10" s="70">
        <f t="shared" si="6"/>
        <v>0.25473684210526315</v>
      </c>
      <c r="G10" s="70">
        <f t="shared" si="6"/>
        <v>0.7558139534883721</v>
      </c>
      <c r="H10" s="70">
        <f t="shared" si="6"/>
        <v>0.43350097959573758</v>
      </c>
      <c r="I10" s="70">
        <f t="shared" si="6"/>
        <v>0.71315859855576358</v>
      </c>
      <c r="J10" s="70">
        <f t="shared" si="6"/>
        <v>0.60844278899562176</v>
      </c>
      <c r="K10" s="70">
        <f t="shared" si="6"/>
        <v>0.88753769821967121</v>
      </c>
      <c r="L10" s="70">
        <f t="shared" si="6"/>
        <v>0.76338435262431847</v>
      </c>
      <c r="M10" s="70">
        <f t="shared" si="6"/>
        <v>0.23821989528795812</v>
      </c>
      <c r="N10" s="70">
        <f t="shared" si="6"/>
        <v>0.91459399219897675</v>
      </c>
      <c r="O10" s="70">
        <f t="shared" si="6"/>
        <v>0.55556636092385903</v>
      </c>
      <c r="P10" s="70">
        <f t="shared" si="6"/>
        <v>0.8545454545454545</v>
      </c>
      <c r="Q10" s="70">
        <f t="shared" si="6"/>
        <v>0.89949591827630815</v>
      </c>
      <c r="R10" s="70">
        <f t="shared" si="6"/>
        <v>0.26272053953152286</v>
      </c>
      <c r="S10" s="70">
        <f t="shared" si="6"/>
        <v>0.54166666666666663</v>
      </c>
      <c r="T10" s="70">
        <f t="shared" si="6"/>
        <v>0.58531073446327686</v>
      </c>
      <c r="U10" s="70">
        <f t="shared" si="6"/>
        <v>0.86868686868686873</v>
      </c>
      <c r="V10" s="70">
        <f t="shared" si="6"/>
        <v>0.30173782329554233</v>
      </c>
      <c r="W10" s="70">
        <f t="shared" si="6"/>
        <v>0.46961325966850831</v>
      </c>
      <c r="X10" s="70">
        <f t="shared" si="6"/>
        <v>8.5250338294993233E-2</v>
      </c>
      <c r="Y10" s="70">
        <f t="shared" si="6"/>
        <v>0.75608413941348074</v>
      </c>
      <c r="Z10" s="70">
        <f t="shared" si="6"/>
        <v>0.97872340425531912</v>
      </c>
      <c r="AA10" s="70">
        <f t="shared" si="6"/>
        <v>0.52584502400903865</v>
      </c>
      <c r="AB10" s="70">
        <f t="shared" si="6"/>
        <v>0.8418181818181818</v>
      </c>
      <c r="AC10" s="70">
        <f t="shared" si="6"/>
        <v>0.8342857142857143</v>
      </c>
      <c r="AD10" s="70">
        <f t="shared" si="6"/>
        <v>0.79629629629629628</v>
      </c>
      <c r="AE10" s="70">
        <f t="shared" si="6"/>
        <v>0.66580756013745701</v>
      </c>
      <c r="AF10" s="70">
        <f t="shared" si="6"/>
        <v>0.65044247787610621</v>
      </c>
      <c r="AG10" s="70">
        <f t="shared" si="6"/>
        <v>0.84973699590882523</v>
      </c>
      <c r="AH10" s="70">
        <f t="shared" ref="AH10:BM10" si="7">AH4/AH2</f>
        <v>0</v>
      </c>
      <c r="AI10" s="70">
        <f t="shared" si="7"/>
        <v>0.33616003479017176</v>
      </c>
      <c r="AJ10" s="70">
        <f t="shared" si="7"/>
        <v>0.87852494577006512</v>
      </c>
      <c r="AK10" s="70">
        <f t="shared" si="7"/>
        <v>0.91961152323933748</v>
      </c>
      <c r="AL10" s="70">
        <f t="shared" si="7"/>
        <v>0.90880702441722461</v>
      </c>
      <c r="AM10" s="70">
        <f t="shared" si="7"/>
        <v>0.51015359722443709</v>
      </c>
      <c r="AN10" s="70">
        <f t="shared" si="7"/>
        <v>0.92655367231638419</v>
      </c>
      <c r="AO10" s="70">
        <f t="shared" si="7"/>
        <v>0.25906249999999997</v>
      </c>
      <c r="AP10" s="70">
        <f t="shared" si="7"/>
        <v>0.64450474898236088</v>
      </c>
      <c r="AQ10" s="70">
        <f t="shared" si="7"/>
        <v>0.24139890158449592</v>
      </c>
      <c r="AR10" s="70">
        <f t="shared" si="7"/>
        <v>0.66183328010220377</v>
      </c>
      <c r="AS10" s="70">
        <f t="shared" si="7"/>
        <v>0.80639213275968036</v>
      </c>
      <c r="AT10" s="70">
        <f t="shared" si="7"/>
        <v>0.92851500789889418</v>
      </c>
      <c r="AU10" s="70">
        <f t="shared" si="7"/>
        <v>0.80377358490566042</v>
      </c>
      <c r="AV10" s="70">
        <f t="shared" si="7"/>
        <v>0.7365300335137922</v>
      </c>
      <c r="AW10" s="70">
        <f t="shared" si="7"/>
        <v>0.91599447714555626</v>
      </c>
      <c r="AX10" s="70">
        <f t="shared" si="7"/>
        <v>0.98379126309547338</v>
      </c>
      <c r="AY10" s="70">
        <f t="shared" si="7"/>
        <v>1</v>
      </c>
      <c r="AZ10" s="70">
        <f t="shared" si="7"/>
        <v>0.47078994949809838</v>
      </c>
      <c r="BA10" s="70">
        <f t="shared" si="7"/>
        <v>0.42996020256034301</v>
      </c>
      <c r="BB10" s="70">
        <f t="shared" si="7"/>
        <v>0.37670033087519733</v>
      </c>
      <c r="BC10" s="70">
        <f t="shared" si="7"/>
        <v>0.51732623877618888</v>
      </c>
      <c r="BD10" s="70">
        <f t="shared" si="7"/>
        <v>0.27417779225008143</v>
      </c>
      <c r="BE10" s="70">
        <f t="shared" si="7"/>
        <v>0.72075471698113203</v>
      </c>
      <c r="BF10" s="70">
        <f t="shared" si="7"/>
        <v>0.94542772861356927</v>
      </c>
      <c r="BG10" s="70">
        <f t="shared" si="7"/>
        <v>0.442573402417962</v>
      </c>
      <c r="BH10" s="70">
        <f t="shared" si="7"/>
        <v>0.43899085722142023</v>
      </c>
      <c r="BI10" s="70">
        <f t="shared" si="7"/>
        <v>0.66666666666666663</v>
      </c>
      <c r="BJ10" s="70">
        <f t="shared" si="7"/>
        <v>0.93538794268721281</v>
      </c>
      <c r="BK10" s="70">
        <f t="shared" si="7"/>
        <v>0.36855576532094103</v>
      </c>
      <c r="BL10" s="70">
        <f t="shared" si="7"/>
        <v>0.65127277785505633</v>
      </c>
      <c r="BM10" s="70">
        <f t="shared" si="7"/>
        <v>0.20245398773006135</v>
      </c>
      <c r="BN10" s="70">
        <f t="shared" ref="BN10:CS10" si="8">BN4/BN2</f>
        <v>0.81090589270008795</v>
      </c>
      <c r="BO10" s="70">
        <f t="shared" si="8"/>
        <v>0.91889412491791878</v>
      </c>
      <c r="BP10" s="70">
        <f t="shared" si="8"/>
        <v>0.88630145134427785</v>
      </c>
      <c r="BQ10" s="70">
        <f t="shared" si="8"/>
        <v>0.32505322924059615</v>
      </c>
      <c r="BR10" s="70">
        <f t="shared" si="8"/>
        <v>0.9285714285714286</v>
      </c>
      <c r="BS10" s="70">
        <f t="shared" si="8"/>
        <v>1</v>
      </c>
      <c r="BT10" s="70">
        <f t="shared" si="8"/>
        <v>0.71630360414045779</v>
      </c>
      <c r="BU10" s="70">
        <f t="shared" si="8"/>
        <v>0.88688873139617297</v>
      </c>
      <c r="BV10" s="70">
        <f t="shared" si="8"/>
        <v>0.41095189355168882</v>
      </c>
      <c r="BW10" s="70">
        <f t="shared" si="8"/>
        <v>0.4652956298200514</v>
      </c>
      <c r="BX10" s="70">
        <f t="shared" si="8"/>
        <v>0.59468664850136244</v>
      </c>
      <c r="BY10" s="70">
        <f t="shared" si="8"/>
        <v>1</v>
      </c>
      <c r="BZ10" s="70">
        <f t="shared" si="8"/>
        <v>0.12679600412672051</v>
      </c>
      <c r="CA10" s="70">
        <f t="shared" si="8"/>
        <v>0.74842625899280579</v>
      </c>
      <c r="CB10" s="70">
        <f t="shared" si="8"/>
        <v>0.98327939590075508</v>
      </c>
      <c r="CC10" s="70">
        <f t="shared" si="8"/>
        <v>0.64264803154979522</v>
      </c>
      <c r="CD10" s="70">
        <f t="shared" si="8"/>
        <v>0.57997268277120329</v>
      </c>
      <c r="CE10" s="70">
        <f t="shared" si="8"/>
        <v>0.86900131468702957</v>
      </c>
      <c r="CF10" s="70">
        <f t="shared" si="8"/>
        <v>0.68520673269085575</v>
      </c>
      <c r="CG10" s="70">
        <f t="shared" si="8"/>
        <v>0.90236366445234051</v>
      </c>
      <c r="CH10" s="70">
        <f t="shared" si="8"/>
        <v>0.42405251230757207</v>
      </c>
      <c r="CI10" s="70">
        <f t="shared" si="8"/>
        <v>0.80635115272488078</v>
      </c>
      <c r="CJ10" s="70">
        <f t="shared" si="8"/>
        <v>0.83704572098475971</v>
      </c>
      <c r="CK10" s="70">
        <f t="shared" si="8"/>
        <v>0.70547813242566304</v>
      </c>
      <c r="CL10" s="70">
        <f t="shared" si="8"/>
        <v>0.88520408163265307</v>
      </c>
      <c r="CM10" s="70">
        <f t="shared" si="8"/>
        <v>0.64270862867403833</v>
      </c>
      <c r="CN10" s="70">
        <f t="shared" si="8"/>
        <v>0.4357719054242003</v>
      </c>
      <c r="CO10" s="70">
        <f t="shared" si="8"/>
        <v>0.54323485768244972</v>
      </c>
      <c r="CP10" s="70">
        <f t="shared" si="8"/>
        <v>0.85520123021482164</v>
      </c>
      <c r="CQ10" s="70">
        <f t="shared" si="8"/>
        <v>0.63686328688130711</v>
      </c>
      <c r="CR10" s="70">
        <f t="shared" si="8"/>
        <v>0.95</v>
      </c>
      <c r="CS10" s="70">
        <f t="shared" si="8"/>
        <v>0.85726004922067267</v>
      </c>
      <c r="CT10" s="70">
        <f t="shared" ref="CT10:DY10" si="9">CT4/CT2</f>
        <v>0.44023699124162802</v>
      </c>
      <c r="CU10" s="70">
        <f t="shared" si="9"/>
        <v>0.25346534653465347</v>
      </c>
      <c r="CV10" s="70">
        <f t="shared" si="9"/>
        <v>0.55355612682090827</v>
      </c>
      <c r="CW10" s="70">
        <f t="shared" si="9"/>
        <v>0.20410328970640254</v>
      </c>
      <c r="CX10" s="70">
        <f t="shared" si="9"/>
        <v>0.94186046511627908</v>
      </c>
      <c r="CY10" s="70">
        <f t="shared" si="9"/>
        <v>0.80237741456166423</v>
      </c>
      <c r="CZ10" s="70">
        <f t="shared" si="9"/>
        <v>0.763328587248853</v>
      </c>
      <c r="DA10" s="70">
        <f t="shared" si="9"/>
        <v>0.6460268317853457</v>
      </c>
      <c r="DB10" s="70">
        <f t="shared" si="9"/>
        <v>0.44896288209606988</v>
      </c>
      <c r="DC10" s="70">
        <f t="shared" si="9"/>
        <v>0.96597035040431267</v>
      </c>
      <c r="DD10" s="70">
        <f t="shared" si="9"/>
        <v>0.75601068566340157</v>
      </c>
      <c r="DE10" s="70">
        <f t="shared" si="9"/>
        <v>0.76124154397134902</v>
      </c>
      <c r="DF10" s="70">
        <f t="shared" si="9"/>
        <v>0.94864479315263905</v>
      </c>
      <c r="DG10" s="70">
        <f t="shared" si="9"/>
        <v>0.74951675257731953</v>
      </c>
      <c r="DH10" s="70">
        <f t="shared" si="9"/>
        <v>0.96511627906976749</v>
      </c>
      <c r="DI10" s="70">
        <f t="shared" si="9"/>
        <v>0.7681882429094109</v>
      </c>
      <c r="DJ10" s="70">
        <f t="shared" si="9"/>
        <v>0.69767642739915348</v>
      </c>
      <c r="DK10" s="70">
        <f t="shared" si="9"/>
        <v>0.89655172413793105</v>
      </c>
      <c r="DL10" s="70">
        <f t="shared" si="9"/>
        <v>0.76816608996539792</v>
      </c>
      <c r="DM10" s="70">
        <f t="shared" si="9"/>
        <v>0.27964051157967507</v>
      </c>
      <c r="DN10" s="70">
        <f t="shared" si="9"/>
        <v>0.79250251352515921</v>
      </c>
      <c r="DO10" s="70">
        <f t="shared" si="9"/>
        <v>0</v>
      </c>
      <c r="DP10" s="70">
        <f t="shared" si="9"/>
        <v>5.4801953336950621E-2</v>
      </c>
      <c r="DQ10" s="70">
        <f t="shared" si="9"/>
        <v>0.73346843003412965</v>
      </c>
      <c r="DR10" s="70">
        <f t="shared" si="9"/>
        <v>3.5384644187744555E-3</v>
      </c>
      <c r="DS10" s="70">
        <f t="shared" si="9"/>
        <v>0.97238278741168915</v>
      </c>
      <c r="DT10" s="70">
        <f t="shared" si="9"/>
        <v>0.72462925268973544</v>
      </c>
      <c r="DU10" s="70">
        <f t="shared" si="9"/>
        <v>0.90724381625441697</v>
      </c>
      <c r="DV10" s="70">
        <f t="shared" si="9"/>
        <v>0.44203496843127732</v>
      </c>
      <c r="DW10" s="70">
        <f t="shared" si="9"/>
        <v>0.54479584842847351</v>
      </c>
      <c r="DX10" s="70">
        <f t="shared" si="9"/>
        <v>0.95838808585194923</v>
      </c>
      <c r="DY10" s="70">
        <f t="shared" si="9"/>
        <v>0.74006592436865737</v>
      </c>
      <c r="DZ10" s="70">
        <f t="shared" ref="DZ10:FE10" si="10">DZ4/DZ2</f>
        <v>0.8787300985456945</v>
      </c>
      <c r="EA10" s="70">
        <f t="shared" si="10"/>
        <v>0.57104260929006212</v>
      </c>
      <c r="EB10" s="70">
        <f t="shared" si="10"/>
        <v>0.17741935483870969</v>
      </c>
      <c r="EC10" s="70">
        <f t="shared" si="10"/>
        <v>0.63874230430958667</v>
      </c>
      <c r="ED10" s="70">
        <f t="shared" si="10"/>
        <v>0.69934593564047753</v>
      </c>
      <c r="EE10" s="70">
        <f t="shared" si="10"/>
        <v>0.32235494880546073</v>
      </c>
      <c r="EF10" s="70">
        <f t="shared" si="10"/>
        <v>0.75701580572323857</v>
      </c>
      <c r="EG10" s="70">
        <f t="shared" si="10"/>
        <v>0.70329430008548877</v>
      </c>
      <c r="EH10" s="70">
        <f t="shared" si="10"/>
        <v>0.97017254121919394</v>
      </c>
      <c r="EI10" s="70">
        <f t="shared" si="10"/>
        <v>0.56193629907193587</v>
      </c>
      <c r="EJ10" s="70">
        <f t="shared" si="10"/>
        <v>0.73743571533525987</v>
      </c>
      <c r="EK10" s="70">
        <f t="shared" si="10"/>
        <v>0.51889302820649286</v>
      </c>
      <c r="EL10" s="70">
        <f t="shared" si="10"/>
        <v>0.88235294117647056</v>
      </c>
      <c r="EM10" s="70">
        <f t="shared" si="10"/>
        <v>0.91666666666666663</v>
      </c>
      <c r="EN10" s="70">
        <f t="shared" si="10"/>
        <v>0.75</v>
      </c>
      <c r="EO10" s="70">
        <f t="shared" si="10"/>
        <v>0.93991416309012876</v>
      </c>
      <c r="EP10" s="70">
        <f t="shared" si="10"/>
        <v>0.84855491329479771</v>
      </c>
      <c r="EQ10" s="70">
        <f t="shared" si="10"/>
        <v>0.8289617526976879</v>
      </c>
      <c r="ER10" s="70">
        <f t="shared" si="10"/>
        <v>0.66335518230233514</v>
      </c>
      <c r="ES10" s="70">
        <f t="shared" si="10"/>
        <v>0</v>
      </c>
      <c r="ET10" s="70">
        <f t="shared" si="10"/>
        <v>0.34210526315789475</v>
      </c>
      <c r="EU10" s="70">
        <f t="shared" si="10"/>
        <v>0.73864273696017946</v>
      </c>
      <c r="EV10" s="70">
        <f t="shared" si="10"/>
        <v>0.89877650576340529</v>
      </c>
      <c r="EW10" s="70">
        <f t="shared" si="10"/>
        <v>0.74094452086198992</v>
      </c>
      <c r="EX10" s="70">
        <f t="shared" si="10"/>
        <v>0.83037853378054627</v>
      </c>
      <c r="EY10" s="70">
        <f t="shared" si="10"/>
        <v>0.48279098873591991</v>
      </c>
      <c r="EZ10" s="70">
        <f t="shared" si="10"/>
        <v>0.60753012514115112</v>
      </c>
      <c r="FA10" s="70">
        <f t="shared" si="10"/>
        <v>0.91579243821727807</v>
      </c>
      <c r="FB10" s="70">
        <f t="shared" si="10"/>
        <v>0.50976138828633411</v>
      </c>
      <c r="FC10" s="70">
        <f t="shared" si="10"/>
        <v>0.55199856105072664</v>
      </c>
      <c r="FD10" s="70">
        <f t="shared" si="10"/>
        <v>0.75614973262032081</v>
      </c>
      <c r="FE10" s="70">
        <f t="shared" si="10"/>
        <v>0.51987044817927175</v>
      </c>
      <c r="FF10" s="70">
        <f t="shared" ref="FF10:GF10" si="11">FF4/FF2</f>
        <v>0.62373567093728932</v>
      </c>
      <c r="FG10" s="70">
        <f t="shared" si="11"/>
        <v>0</v>
      </c>
      <c r="FH10" s="70">
        <f t="shared" si="11"/>
        <v>0.89624967369550712</v>
      </c>
      <c r="FI10" s="70">
        <f t="shared" si="11"/>
        <v>0</v>
      </c>
      <c r="FJ10" s="70">
        <f t="shared" si="11"/>
        <v>0.95238095238095233</v>
      </c>
      <c r="FK10" s="70">
        <f t="shared" si="11"/>
        <v>0.83317208016586042</v>
      </c>
      <c r="FL10" s="70">
        <f t="shared" si="11"/>
        <v>0.35952848722986247</v>
      </c>
      <c r="FM10" s="70">
        <f t="shared" si="11"/>
        <v>0.94358507734303909</v>
      </c>
      <c r="FN10" s="70">
        <f t="shared" si="11"/>
        <v>0</v>
      </c>
      <c r="FO10" s="70">
        <f t="shared" si="11"/>
        <v>0.69450800915331812</v>
      </c>
      <c r="FP10" s="70">
        <f t="shared" si="11"/>
        <v>0.86486486486486491</v>
      </c>
      <c r="FQ10" s="70">
        <f t="shared" si="11"/>
        <v>0.79518900343642607</v>
      </c>
      <c r="FR10" s="70">
        <f t="shared" si="11"/>
        <v>0.92709861289143203</v>
      </c>
      <c r="FS10" s="70">
        <f t="shared" si="11"/>
        <v>0.30902656459668287</v>
      </c>
      <c r="FT10" s="70">
        <f t="shared" si="11"/>
        <v>0.87411347517730498</v>
      </c>
      <c r="FU10" s="70">
        <f t="shared" si="11"/>
        <v>0.55445928222248719</v>
      </c>
      <c r="FV10" s="70">
        <f t="shared" si="11"/>
        <v>0.88733798604187442</v>
      </c>
      <c r="FW10" s="70">
        <f t="shared" si="11"/>
        <v>4.7628833176448756E-3</v>
      </c>
      <c r="FX10" s="70">
        <f t="shared" si="11"/>
        <v>0.79118136439267883</v>
      </c>
      <c r="FY10" s="70">
        <f t="shared" si="11"/>
        <v>0.55042670564383045</v>
      </c>
      <c r="FZ10" s="70">
        <f t="shared" si="11"/>
        <v>0.62290467850888165</v>
      </c>
      <c r="GA10" s="70">
        <f t="shared" si="11"/>
        <v>0.84686774941995357</v>
      </c>
      <c r="GB10" s="70">
        <f t="shared" si="11"/>
        <v>0.35326240466999342</v>
      </c>
      <c r="GC10" s="70">
        <f t="shared" si="11"/>
        <v>0.8</v>
      </c>
      <c r="GD10" s="70">
        <f t="shared" si="11"/>
        <v>0.49260792430514488</v>
      </c>
      <c r="GE10" s="70">
        <f t="shared" si="11"/>
        <v>0.61840949033391912</v>
      </c>
      <c r="GF10" s="70">
        <f t="shared" si="11"/>
        <v>0.20044378698224852</v>
      </c>
    </row>
    <row r="11" spans="1:188" x14ac:dyDescent="0.3">
      <c r="A11" s="69" t="s">
        <v>42</v>
      </c>
      <c r="B11" s="70">
        <f t="shared" ref="B11:AG11" si="12">B2/B6</f>
        <v>9.2959533622714516E-4</v>
      </c>
      <c r="C11" s="70">
        <f t="shared" si="12"/>
        <v>1.6959342755962703E-3</v>
      </c>
      <c r="D11" s="70">
        <f t="shared" si="12"/>
        <v>6.3681987185790017E-4</v>
      </c>
      <c r="E11" s="70">
        <f t="shared" si="12"/>
        <v>1.1736846191671627E-2</v>
      </c>
      <c r="F11" s="70">
        <f t="shared" si="12"/>
        <v>2.8826051468156317E-5</v>
      </c>
      <c r="G11" s="70">
        <f t="shared" si="12"/>
        <v>8.7746148352208962E-4</v>
      </c>
      <c r="H11" s="70">
        <f t="shared" si="12"/>
        <v>3.7008738267649026E-3</v>
      </c>
      <c r="I11" s="70">
        <f t="shared" si="12"/>
        <v>1.2615514282118529E-2</v>
      </c>
      <c r="J11" s="70">
        <f t="shared" si="12"/>
        <v>5.9943912897965216E-4</v>
      </c>
      <c r="K11" s="70">
        <f t="shared" si="12"/>
        <v>2.2812877257776302E-3</v>
      </c>
      <c r="L11" s="70">
        <f t="shared" si="12"/>
        <v>3.0001252433549336E-3</v>
      </c>
      <c r="M11" s="70">
        <f t="shared" si="12"/>
        <v>9.7048900451201169E-4</v>
      </c>
      <c r="N11" s="70">
        <f t="shared" si="12"/>
        <v>2.3133952746548978E-2</v>
      </c>
      <c r="O11" s="70">
        <f t="shared" si="12"/>
        <v>1.3722964962851604E-3</v>
      </c>
      <c r="P11" s="70">
        <f t="shared" si="12"/>
        <v>3.8272717467320317E-4</v>
      </c>
      <c r="Q11" s="70">
        <f t="shared" si="12"/>
        <v>7.1172603326002401E-3</v>
      </c>
      <c r="R11" s="70">
        <f t="shared" si="12"/>
        <v>5.7291500912612179E-3</v>
      </c>
      <c r="S11" s="70">
        <f t="shared" si="12"/>
        <v>1.2050854606439174E-4</v>
      </c>
      <c r="T11" s="70">
        <f t="shared" si="12"/>
        <v>1.4565532387489903E-4</v>
      </c>
      <c r="U11" s="70">
        <f t="shared" si="12"/>
        <v>1.2816479662577045E-4</v>
      </c>
      <c r="V11" s="70">
        <f t="shared" si="12"/>
        <v>6.0898532475495704E-3</v>
      </c>
      <c r="W11" s="70">
        <f t="shared" si="12"/>
        <v>3.2019276226495663E-3</v>
      </c>
      <c r="X11" s="70">
        <f t="shared" si="12"/>
        <v>3.1365724775314879E-4</v>
      </c>
      <c r="Y11" s="70">
        <f t="shared" si="12"/>
        <v>1.1482144959596107E-2</v>
      </c>
      <c r="Z11" s="70">
        <f t="shared" si="12"/>
        <v>3.2199646945715047E-4</v>
      </c>
      <c r="AA11" s="70">
        <f t="shared" si="12"/>
        <v>1.5297743550418891E-3</v>
      </c>
      <c r="AB11" s="70">
        <f t="shared" si="12"/>
        <v>5.2493809071044739E-5</v>
      </c>
      <c r="AC11" s="70">
        <f t="shared" si="12"/>
        <v>6.4283418318155129E-6</v>
      </c>
      <c r="AD11" s="70">
        <f t="shared" si="12"/>
        <v>3.1705515149197092E-5</v>
      </c>
      <c r="AE11" s="70">
        <f t="shared" si="12"/>
        <v>4.1826796099759065E-3</v>
      </c>
      <c r="AF11" s="70">
        <f t="shared" si="12"/>
        <v>1.349948854260776E-5</v>
      </c>
      <c r="AG11" s="70">
        <f t="shared" si="12"/>
        <v>6.4308348118114476E-4</v>
      </c>
      <c r="AH11" s="70">
        <f t="shared" ref="AH11:BM11" si="13">AH2/AH6</f>
        <v>3.0829366558674672E-3</v>
      </c>
      <c r="AI11" s="70">
        <f t="shared" si="13"/>
        <v>9.5064815228229974E-4</v>
      </c>
      <c r="AJ11" s="70" t="e">
        <f t="shared" si="13"/>
        <v>#VALUE!</v>
      </c>
      <c r="AK11" s="70">
        <f t="shared" si="13"/>
        <v>1.8184907639424697E-2</v>
      </c>
      <c r="AL11" s="70">
        <f t="shared" si="13"/>
        <v>6.1470681293536756E-5</v>
      </c>
      <c r="AM11" s="70">
        <f t="shared" si="13"/>
        <v>5.0475042711222119E-3</v>
      </c>
      <c r="AN11" s="70">
        <f t="shared" si="13"/>
        <v>4.0627732903643414E-4</v>
      </c>
      <c r="AO11" s="70">
        <f t="shared" si="13"/>
        <v>5.7860890124701071E-4</v>
      </c>
      <c r="AP11" s="70">
        <f t="shared" si="13"/>
        <v>9.2051576402501362E-5</v>
      </c>
      <c r="AQ11" s="70">
        <f t="shared" si="13"/>
        <v>3.1068520984637352E-3</v>
      </c>
      <c r="AR11" s="70">
        <f t="shared" si="13"/>
        <v>5.9815833715421058E-4</v>
      </c>
      <c r="AS11" s="70">
        <f t="shared" si="13"/>
        <v>1.1897400097548444E-3</v>
      </c>
      <c r="AT11" s="70">
        <f t="shared" si="13"/>
        <v>2.2355841244920161E-4</v>
      </c>
      <c r="AU11" s="70">
        <f t="shared" si="13"/>
        <v>8.7731059609116749E-4</v>
      </c>
      <c r="AV11" s="70">
        <f t="shared" si="13"/>
        <v>1.4486016689915311E-3</v>
      </c>
      <c r="AW11" s="70">
        <f t="shared" si="13"/>
        <v>2.3749287875160997E-3</v>
      </c>
      <c r="AX11" s="70">
        <f t="shared" si="13"/>
        <v>5.1132671037723357E-3</v>
      </c>
      <c r="AY11" s="70">
        <f t="shared" si="13"/>
        <v>2.4998611188267316E-4</v>
      </c>
      <c r="AZ11" s="70">
        <f t="shared" si="13"/>
        <v>5.9082861881147638E-3</v>
      </c>
      <c r="BA11" s="70">
        <f t="shared" si="13"/>
        <v>4.5934579460410038E-3</v>
      </c>
      <c r="BB11" s="70">
        <f t="shared" si="13"/>
        <v>9.0211797561417541E-4</v>
      </c>
      <c r="BC11" s="70">
        <f t="shared" si="13"/>
        <v>2.3168144794818227E-3</v>
      </c>
      <c r="BD11" s="70">
        <f t="shared" si="13"/>
        <v>2.1826565865980196E-3</v>
      </c>
      <c r="BE11" s="70">
        <f t="shared" si="13"/>
        <v>7.4623188099713479E-5</v>
      </c>
      <c r="BF11" s="70">
        <f t="shared" si="13"/>
        <v>1.5332116714042456E-3</v>
      </c>
      <c r="BG11" s="70">
        <f t="shared" si="13"/>
        <v>1.9942342863637774E-3</v>
      </c>
      <c r="BH11" s="70">
        <f t="shared" si="13"/>
        <v>1.2625002890029533E-4</v>
      </c>
      <c r="BI11" s="70">
        <f t="shared" si="13"/>
        <v>3.0097146901944609E-5</v>
      </c>
      <c r="BJ11" s="70">
        <f t="shared" si="13"/>
        <v>1.334992540066017E-3</v>
      </c>
      <c r="BK11" s="70">
        <f t="shared" si="13"/>
        <v>3.3750607650932158E-3</v>
      </c>
      <c r="BL11" s="70">
        <f t="shared" si="13"/>
        <v>3.2229531288737417E-3</v>
      </c>
      <c r="BM11" s="70">
        <f t="shared" si="13"/>
        <v>1.345576150116768E-4</v>
      </c>
      <c r="BN11" s="70">
        <f t="shared" ref="BN11:CS11" si="14">BN2/BN6</f>
        <v>2.8507900976038319E-4</v>
      </c>
      <c r="BO11" s="70">
        <f t="shared" si="14"/>
        <v>2.4711715347078664E-3</v>
      </c>
      <c r="BP11" s="70">
        <f t="shared" si="14"/>
        <v>1.0799948081620036E-3</v>
      </c>
      <c r="BQ11" s="70">
        <f t="shared" si="14"/>
        <v>4.0575280103339776E-4</v>
      </c>
      <c r="BR11" s="70">
        <f t="shared" si="14"/>
        <v>2.4656569214512151E-4</v>
      </c>
      <c r="BS11" s="70">
        <f t="shared" si="14"/>
        <v>2.0430642410460489E-4</v>
      </c>
      <c r="BT11" s="70">
        <f t="shared" si="14"/>
        <v>2.5246144194604318E-3</v>
      </c>
      <c r="BU11" s="70">
        <f t="shared" si="14"/>
        <v>5.3589448613567661E-4</v>
      </c>
      <c r="BV11" s="70">
        <f t="shared" si="14"/>
        <v>9.907330461187754E-4</v>
      </c>
      <c r="BW11" s="70">
        <f t="shared" si="14"/>
        <v>4.943222828794209E-4</v>
      </c>
      <c r="BX11" s="70">
        <f t="shared" si="14"/>
        <v>6.4295145199723587E-4</v>
      </c>
      <c r="BY11" s="70">
        <f t="shared" si="14"/>
        <v>2.2727272727272728E-2</v>
      </c>
      <c r="BZ11" s="70">
        <f t="shared" si="14"/>
        <v>3.9693034936582631E-3</v>
      </c>
      <c r="CA11" s="70">
        <f t="shared" si="14"/>
        <v>4.6056109138896753E-4</v>
      </c>
      <c r="CB11" s="70">
        <f t="shared" si="14"/>
        <v>5.4295462199639788E-3</v>
      </c>
      <c r="CC11" s="70">
        <f t="shared" si="14"/>
        <v>1.0714723716482247E-3</v>
      </c>
      <c r="CD11" s="70">
        <f t="shared" si="14"/>
        <v>3.6632555035343787E-4</v>
      </c>
      <c r="CE11" s="70">
        <f t="shared" si="14"/>
        <v>3.4912520654715772E-3</v>
      </c>
      <c r="CF11" s="70">
        <f t="shared" si="14"/>
        <v>2.7932548545781927E-3</v>
      </c>
      <c r="CG11" s="70">
        <f t="shared" si="14"/>
        <v>5.2379025732319142E-3</v>
      </c>
      <c r="CH11" s="70">
        <f t="shared" si="14"/>
        <v>6.9567136608611607E-3</v>
      </c>
      <c r="CI11" s="70">
        <f t="shared" si="14"/>
        <v>4.0740370202304726E-3</v>
      </c>
      <c r="CJ11" s="70">
        <f t="shared" si="14"/>
        <v>2.8793462770018881E-4</v>
      </c>
      <c r="CK11" s="70">
        <f t="shared" si="14"/>
        <v>2.4630670639094564E-4</v>
      </c>
      <c r="CL11" s="70">
        <f t="shared" si="14"/>
        <v>1.1514580533426651E-4</v>
      </c>
      <c r="CM11" s="70">
        <f t="shared" si="14"/>
        <v>4.5028724643082409E-3</v>
      </c>
      <c r="CN11" s="70">
        <f t="shared" si="14"/>
        <v>3.3360454748932648E-4</v>
      </c>
      <c r="CO11" s="70">
        <f t="shared" si="14"/>
        <v>4.1409891450558392E-3</v>
      </c>
      <c r="CP11" s="70">
        <f t="shared" si="14"/>
        <v>1.5053576881761413E-2</v>
      </c>
      <c r="CQ11" s="70">
        <f t="shared" si="14"/>
        <v>5.0954330100379842E-3</v>
      </c>
      <c r="CR11" s="70">
        <f t="shared" si="14"/>
        <v>2.7450845829187114E-6</v>
      </c>
      <c r="CS11" s="70">
        <f t="shared" si="14"/>
        <v>6.4704958130212494E-4</v>
      </c>
      <c r="CT11" s="70">
        <f t="shared" ref="CT11:DY11" si="15">CT2/CT6</f>
        <v>5.6902298665243865E-4</v>
      </c>
      <c r="CU11" s="70">
        <f t="shared" si="15"/>
        <v>2.3554730699463559E-4</v>
      </c>
      <c r="CV11" s="70">
        <f t="shared" si="15"/>
        <v>2.3024027456793942E-4</v>
      </c>
      <c r="CW11" s="70">
        <f t="shared" si="15"/>
        <v>4.1088008129815432E-4</v>
      </c>
      <c r="CX11" s="70">
        <f t="shared" si="15"/>
        <v>2.2549096725136999E-3</v>
      </c>
      <c r="CY11" s="70">
        <f t="shared" si="15"/>
        <v>7.4279253940497862E-4</v>
      </c>
      <c r="CZ11" s="70">
        <f t="shared" si="15"/>
        <v>1.0082111549209509E-2</v>
      </c>
      <c r="DA11" s="70">
        <f t="shared" si="15"/>
        <v>3.491173779461868E-4</v>
      </c>
      <c r="DB11" s="70">
        <f t="shared" si="15"/>
        <v>1.910837426066524E-4</v>
      </c>
      <c r="DC11" s="70">
        <f t="shared" si="15"/>
        <v>2.7476077852837093E-4</v>
      </c>
      <c r="DD11" s="70">
        <f t="shared" si="15"/>
        <v>6.2222041636500643E-3</v>
      </c>
      <c r="DE11" s="70">
        <f t="shared" si="15"/>
        <v>1.2377541514880066E-4</v>
      </c>
      <c r="DF11" s="70">
        <f t="shared" si="15"/>
        <v>1.5871829879342395E-3</v>
      </c>
      <c r="DG11" s="70">
        <f t="shared" si="15"/>
        <v>1.3319807549378553E-3</v>
      </c>
      <c r="DH11" s="70">
        <f t="shared" si="15"/>
        <v>2.7044344076384549E-4</v>
      </c>
      <c r="DI11" s="70">
        <f t="shared" si="15"/>
        <v>3.0642346529872739E-3</v>
      </c>
      <c r="DJ11" s="70">
        <f t="shared" si="15"/>
        <v>5.7411598313208854E-3</v>
      </c>
      <c r="DK11" s="70">
        <f t="shared" si="15"/>
        <v>2.9539088362617776E-3</v>
      </c>
      <c r="DL11" s="70">
        <f t="shared" si="15"/>
        <v>8.8020018615167948E-5</v>
      </c>
      <c r="DM11" s="70">
        <f t="shared" si="15"/>
        <v>4.6061451357642573E-3</v>
      </c>
      <c r="DN11" s="70">
        <f t="shared" si="15"/>
        <v>5.6522601910153822E-4</v>
      </c>
      <c r="DO11" s="70">
        <f t="shared" si="15"/>
        <v>5.4286144854583022E-5</v>
      </c>
      <c r="DP11" s="70">
        <f t="shared" si="15"/>
        <v>7.2408991758811663E-4</v>
      </c>
      <c r="DQ11" s="70">
        <f t="shared" si="15"/>
        <v>6.4248913007204774E-4</v>
      </c>
      <c r="DR11" s="70">
        <f t="shared" si="15"/>
        <v>3.1165039049508613E-3</v>
      </c>
      <c r="DS11" s="70">
        <f t="shared" si="15"/>
        <v>3.112692669078987E-4</v>
      </c>
      <c r="DT11" s="70">
        <f t="shared" si="15"/>
        <v>5.1852587872344626E-4</v>
      </c>
      <c r="DU11" s="70">
        <f t="shared" si="15"/>
        <v>4.6619983260460779E-5</v>
      </c>
      <c r="DV11" s="70">
        <f t="shared" si="15"/>
        <v>1.9931628415977636E-4</v>
      </c>
      <c r="DW11" s="70">
        <f t="shared" si="15"/>
        <v>4.9021654870845966E-3</v>
      </c>
      <c r="DX11" s="70">
        <f t="shared" si="15"/>
        <v>1.6831718389057834E-3</v>
      </c>
      <c r="DY11" s="70">
        <f t="shared" si="15"/>
        <v>1.5054960040606075E-2</v>
      </c>
      <c r="DZ11" s="70">
        <f t="shared" ref="DZ11:FE11" si="16">DZ2/DZ6</f>
        <v>1.2394674313166406E-3</v>
      </c>
      <c r="EA11" s="70">
        <f t="shared" si="16"/>
        <v>1.2018371235089998E-2</v>
      </c>
      <c r="EB11" s="70">
        <f t="shared" si="16"/>
        <v>6.9173198420307291E-6</v>
      </c>
      <c r="EC11" s="70">
        <f t="shared" si="16"/>
        <v>6.368774743243014E-4</v>
      </c>
      <c r="ED11" s="70">
        <f t="shared" si="16"/>
        <v>1.180376891803111E-2</v>
      </c>
      <c r="EE11" s="70">
        <f t="shared" si="16"/>
        <v>7.4770294381786148E-4</v>
      </c>
      <c r="EF11" s="70">
        <f t="shared" si="16"/>
        <v>1.1469175421727779E-3</v>
      </c>
      <c r="EG11" s="70">
        <f t="shared" si="16"/>
        <v>4.9343739739265632E-3</v>
      </c>
      <c r="EH11" s="70">
        <f t="shared" si="16"/>
        <v>3.9032981278970584E-2</v>
      </c>
      <c r="EI11" s="70">
        <f t="shared" si="16"/>
        <v>2.3877416293145303E-3</v>
      </c>
      <c r="EJ11" s="70">
        <f t="shared" si="16"/>
        <v>5.5959629253820543E-3</v>
      </c>
      <c r="EK11" s="70">
        <f t="shared" si="16"/>
        <v>1.4474393111575461E-4</v>
      </c>
      <c r="EL11" s="70">
        <f t="shared" si="16"/>
        <v>3.1932678400360654E-4</v>
      </c>
      <c r="EM11" s="70">
        <f t="shared" si="16"/>
        <v>1.306392614527086E-4</v>
      </c>
      <c r="EN11" s="70">
        <f t="shared" si="16"/>
        <v>5.0000000000000001E-4</v>
      </c>
      <c r="EO11" s="70">
        <f t="shared" si="16"/>
        <v>2.0596381637102954E-2</v>
      </c>
      <c r="EP11" s="70">
        <f t="shared" si="16"/>
        <v>3.9399846955507781E-3</v>
      </c>
      <c r="EQ11" s="70">
        <f t="shared" si="16"/>
        <v>7.7133776396371484E-3</v>
      </c>
      <c r="ER11" s="70">
        <f t="shared" si="16"/>
        <v>5.8174878188156404E-4</v>
      </c>
      <c r="ES11" s="70">
        <f t="shared" si="16"/>
        <v>2.7641316675187334E-3</v>
      </c>
      <c r="ET11" s="70">
        <f t="shared" si="16"/>
        <v>1.158442403056662E-3</v>
      </c>
      <c r="EU11" s="70">
        <f t="shared" si="16"/>
        <v>2.230933805328691E-4</v>
      </c>
      <c r="EV11" s="70">
        <f t="shared" si="16"/>
        <v>8.6829360272672688E-3</v>
      </c>
      <c r="EW11" s="70">
        <f t="shared" si="16"/>
        <v>3.994567680998697E-4</v>
      </c>
      <c r="EX11" s="70">
        <f t="shared" si="16"/>
        <v>1.0038634553297598E-3</v>
      </c>
      <c r="EY11" s="70">
        <f t="shared" si="16"/>
        <v>2.0058981942648382E-4</v>
      </c>
      <c r="EZ11" s="70">
        <f t="shared" si="16"/>
        <v>7.6206983157028904E-3</v>
      </c>
      <c r="FA11" s="70">
        <f t="shared" si="16"/>
        <v>2.7700343715959667E-4</v>
      </c>
      <c r="FB11" s="70">
        <f t="shared" si="16"/>
        <v>2.0568287965311784E-4</v>
      </c>
      <c r="FC11" s="70">
        <f t="shared" si="16"/>
        <v>5.8263586388827534E-3</v>
      </c>
      <c r="FD11" s="70">
        <f t="shared" si="16"/>
        <v>1.3093794232400704E-4</v>
      </c>
      <c r="FE11" s="70">
        <f t="shared" si="16"/>
        <v>2.5996997601649536E-4</v>
      </c>
      <c r="FF11" s="70">
        <f t="shared" ref="FF11:GF11" si="17">FF2/FF6</f>
        <v>2.5257428204525558E-3</v>
      </c>
      <c r="FG11" s="70">
        <f t="shared" si="17"/>
        <v>7.8565381002763217E-3</v>
      </c>
      <c r="FH11" s="70">
        <f t="shared" si="17"/>
        <v>3.9807402234765879E-3</v>
      </c>
      <c r="FI11" s="70">
        <f t="shared" si="17"/>
        <v>3.8427330155761816E-5</v>
      </c>
      <c r="FJ11" s="70">
        <f t="shared" si="17"/>
        <v>1.9394489756791838E-5</v>
      </c>
      <c r="FK11" s="70">
        <f t="shared" si="17"/>
        <v>7.569996572313922E-4</v>
      </c>
      <c r="FL11" s="70">
        <f t="shared" si="17"/>
        <v>8.4994279918358071E-6</v>
      </c>
      <c r="FM11" s="70">
        <f t="shared" si="17"/>
        <v>4.7222850921283877E-5</v>
      </c>
      <c r="FN11" s="70">
        <f t="shared" si="17"/>
        <v>1.8170640484792688E-5</v>
      </c>
      <c r="FO11" s="70">
        <f t="shared" si="17"/>
        <v>1.0534458648151732E-4</v>
      </c>
      <c r="FP11" s="70">
        <f t="shared" si="17"/>
        <v>1.0571806135933426E-4</v>
      </c>
      <c r="FQ11" s="70">
        <f t="shared" si="17"/>
        <v>1.2298406506879795E-4</v>
      </c>
      <c r="FR11" s="70">
        <f t="shared" si="17"/>
        <v>2.6888959820844972E-3</v>
      </c>
      <c r="FS11" s="70">
        <f t="shared" si="17"/>
        <v>1.2953753694201112E-2</v>
      </c>
      <c r="FT11" s="70">
        <f t="shared" si="17"/>
        <v>2.4592387714166339E-5</v>
      </c>
      <c r="FU11" s="70">
        <f t="shared" si="17"/>
        <v>1.5351717840661086E-3</v>
      </c>
      <c r="FV11" s="70">
        <f t="shared" si="17"/>
        <v>5.9762197413290681E-3</v>
      </c>
      <c r="FW11" s="70">
        <f t="shared" si="17"/>
        <v>4.4419756659507328E-3</v>
      </c>
      <c r="FX11" s="70">
        <f t="shared" si="17"/>
        <v>3.4590366036289381E-4</v>
      </c>
      <c r="FY11" s="70">
        <f t="shared" si="17"/>
        <v>6.3280173392866643E-4</v>
      </c>
      <c r="FZ11" s="70">
        <f t="shared" si="17"/>
        <v>5.624131760588577E-4</v>
      </c>
      <c r="GA11" s="70">
        <f t="shared" si="17"/>
        <v>4.4238944908348918E-6</v>
      </c>
      <c r="GB11" s="70">
        <f t="shared" si="17"/>
        <v>2.2127083333333335E-3</v>
      </c>
      <c r="GC11" s="70">
        <f t="shared" si="17"/>
        <v>1.6703358377235327E-5</v>
      </c>
      <c r="GD11" s="70">
        <f t="shared" si="17"/>
        <v>5.6579978844909859E-5</v>
      </c>
      <c r="GE11" s="70">
        <f t="shared" si="17"/>
        <v>2.4698687676033088E-4</v>
      </c>
      <c r="GF11" s="70">
        <f t="shared" si="17"/>
        <v>1.8167399823821909E-4</v>
      </c>
    </row>
    <row r="12" spans="1:188" x14ac:dyDescent="0.3">
      <c r="A12" s="69" t="s">
        <v>43</v>
      </c>
      <c r="B12" t="str" cm="1">
        <f t="array" ref="B12">_xlfn.IFS(B9&gt;5%,"HIGH RISK",B9&lt;2%,"LOW RISK",OR(B9&gt;2%,B9&lt;5%),"MODERATE RISK")</f>
        <v>MODERATE RISK</v>
      </c>
      <c r="C12" t="str" cm="1">
        <f t="array" ref="C12">_xlfn.IFS(C9&gt;5%,"HIGH RISK",C9&lt;2%,"LOW RISK",OR(C9&gt;2%,C9&lt;5%),"MODERATE RISK")</f>
        <v>MODERATE RISK</v>
      </c>
      <c r="D12" t="str" cm="1">
        <f t="array" ref="D12">_xlfn.IFS(D9&gt;5%,"HIGH RISK",D9&lt;2%,"LOW RISK",OR(D9&gt;2%,D9&lt;5%),"MODERATE RISK")</f>
        <v>MODERATE RISK</v>
      </c>
      <c r="E12" t="str" cm="1">
        <f t="array" ref="E12">_xlfn.IFS(E9&gt;5%,"HIGH RISK",E9&lt;2%,"LOW RISK",OR(E9&gt;2%,E9&lt;5%),"MODERATE RISK")</f>
        <v>HIGH RISK</v>
      </c>
      <c r="F12" t="str" cm="1">
        <f t="array" ref="F12">_xlfn.IFS(F9&gt;5%,"HIGH RISK",F9&lt;2%,"LOW RISK",OR(F9&gt;2%,F9&lt;5%),"MODERATE RISK")</f>
        <v>MODERATE RISK</v>
      </c>
      <c r="G12" t="str" cm="1">
        <f t="array" ref="G12">_xlfn.IFS(G9&gt;5%,"HIGH RISK",G9&lt;2%,"LOW RISK",OR(G9&gt;2%,G9&lt;5%),"MODERATE RISK")</f>
        <v>MODERATE RISK</v>
      </c>
      <c r="H12" t="str" cm="1">
        <f t="array" ref="H12">_xlfn.IFS(H9&gt;5%,"HIGH RISK",H9&lt;2%,"LOW RISK",OR(H9&gt;2%,H9&lt;5%),"MODERATE RISK")</f>
        <v>LOW RISK</v>
      </c>
      <c r="I12" t="str" cm="1">
        <f t="array" ref="I12">_xlfn.IFS(I9&gt;5%,"HIGH RISK",I9&lt;2%,"LOW RISK",OR(I9&gt;2%,I9&lt;5%),"MODERATE RISK")</f>
        <v>LOW RISK</v>
      </c>
      <c r="J12" t="str" cm="1">
        <f t="array" ref="J12">_xlfn.IFS(J9&gt;5%,"HIGH RISK",J9&lt;2%,"LOW RISK",OR(J9&gt;2%,J9&lt;5%),"MODERATE RISK")</f>
        <v>LOW RISK</v>
      </c>
      <c r="K12" t="str" cm="1">
        <f t="array" ref="K12">_xlfn.IFS(K9&gt;5%,"HIGH RISK",K9&lt;2%,"LOW RISK",OR(K9&gt;2%,K9&lt;5%),"MODERATE RISK")</f>
        <v>MODERATE RISK</v>
      </c>
      <c r="L12" t="str" cm="1">
        <f t="array" ref="L12">_xlfn.IFS(L9&gt;5%,"HIGH RISK",L9&lt;2%,"LOW RISK",OR(L9&gt;2%,L9&lt;5%),"MODERATE RISK")</f>
        <v>LOW RISK</v>
      </c>
      <c r="M12" t="str" cm="1">
        <f t="array" ref="M12">_xlfn.IFS(M9&gt;5%,"HIGH RISK",M9&lt;2%,"LOW RISK",OR(M9&gt;2%,M9&lt;5%),"MODERATE RISK")</f>
        <v>MODERATE RISK</v>
      </c>
      <c r="N12" t="str" cm="1">
        <f t="array" ref="N12">_xlfn.IFS(N9&gt;5%,"HIGH RISK",N9&lt;2%,"LOW RISK",OR(N9&gt;2%,N9&lt;5%),"MODERATE RISK")</f>
        <v>LOW RISK</v>
      </c>
      <c r="O12" t="str" cm="1">
        <f t="array" ref="O12">_xlfn.IFS(O9&gt;5%,"HIGH RISK",O9&lt;2%,"LOW RISK",OR(O9&gt;2%,O9&lt;5%),"MODERATE RISK")</f>
        <v>LOW RISK</v>
      </c>
      <c r="P12" t="str" cm="1">
        <f t="array" ref="P12">_xlfn.IFS(P9&gt;5%,"HIGH RISK",P9&lt;2%,"LOW RISK",OR(P9&gt;2%,P9&lt;5%),"MODERATE RISK")</f>
        <v>HIGH RISK</v>
      </c>
      <c r="Q12" t="str" cm="1">
        <f t="array" ref="Q12">_xlfn.IFS(Q9&gt;5%,"HIGH RISK",Q9&lt;2%,"LOW RISK",OR(Q9&gt;2%,Q9&lt;5%),"MODERATE RISK")</f>
        <v>LOW RISK</v>
      </c>
      <c r="R12" t="str" cm="1">
        <f t="array" ref="R12">_xlfn.IFS(R9&gt;5%,"HIGH RISK",R9&lt;2%,"LOW RISK",OR(R9&gt;2%,R9&lt;5%),"MODERATE RISK")</f>
        <v>HIGH RISK</v>
      </c>
      <c r="S12" t="str" cm="1">
        <f t="array" ref="S12">_xlfn.IFS(S9&gt;5%,"HIGH RISK",S9&lt;2%,"LOW RISK",OR(S9&gt;2%,S9&lt;5%),"MODERATE RISK")</f>
        <v>MODERATE RISK</v>
      </c>
      <c r="T12" t="str" cm="1">
        <f t="array" ref="T12">_xlfn.IFS(T9&gt;5%,"HIGH RISK",T9&lt;2%,"LOW RISK",OR(T9&gt;2%,T9&lt;5%),"MODERATE RISK")</f>
        <v>LOW RISK</v>
      </c>
      <c r="U12" t="str" cm="1">
        <f t="array" ref="U12">_xlfn.IFS(U9&gt;5%,"HIGH RISK",U9&lt;2%,"LOW RISK",OR(U9&gt;2%,U9&lt;5%),"MODERATE RISK")</f>
        <v>LOW RISK</v>
      </c>
      <c r="V12" t="str" cm="1">
        <f t="array" ref="V12">_xlfn.IFS(V9&gt;5%,"HIGH RISK",V9&lt;2%,"LOW RISK",OR(V9&gt;2%,V9&lt;5%),"MODERATE RISK")</f>
        <v>MODERATE RISK</v>
      </c>
      <c r="W12" t="str" cm="1">
        <f t="array" ref="W12">_xlfn.IFS(W9&gt;5%,"HIGH RISK",W9&lt;2%,"LOW RISK",OR(W9&gt;2%,W9&lt;5%),"MODERATE RISK")</f>
        <v>MODERATE RISK</v>
      </c>
      <c r="X12" t="str" cm="1">
        <f t="array" ref="X12">_xlfn.IFS(X9&gt;5%,"HIGH RISK",X9&lt;2%,"LOW RISK",OR(X9&gt;2%,X9&lt;5%),"MODERATE RISK")</f>
        <v>LOW RISK</v>
      </c>
      <c r="Y12" t="str" cm="1">
        <f t="array" ref="Y12">_xlfn.IFS(Y9&gt;5%,"HIGH RISK",Y9&lt;2%,"LOW RISK",OR(Y9&gt;2%,Y9&lt;5%),"MODERATE RISK")</f>
        <v>MODERATE RISK</v>
      </c>
      <c r="Z12" t="str" cm="1">
        <f t="array" ref="Z12">_xlfn.IFS(Z9&gt;5%,"HIGH RISK",Z9&lt;2%,"LOW RISK",OR(Z9&gt;2%,Z9&lt;5%),"MODERATE RISK")</f>
        <v>MODERATE RISK</v>
      </c>
      <c r="AA12" t="str" cm="1">
        <f t="array" ref="AA12">_xlfn.IFS(AA9&gt;5%,"HIGH RISK",AA9&lt;2%,"LOW RISK",OR(AA9&gt;2%,AA9&lt;5%),"MODERATE RISK")</f>
        <v>MODERATE RISK</v>
      </c>
      <c r="AB12" t="str" cm="1">
        <f t="array" ref="AB12">_xlfn.IFS(AB9&gt;5%,"HIGH RISK",AB9&lt;2%,"LOW RISK",OR(AB9&gt;2%,AB9&lt;5%),"MODERATE RISK")</f>
        <v>MODERATE RISK</v>
      </c>
      <c r="AC12" t="str" cm="1">
        <f t="array" ref="AC12">_xlfn.IFS(AC9&gt;5%,"HIGH RISK",AC9&lt;2%,"LOW RISK",OR(AC9&gt;2%,AC9&lt;5%),"MODERATE RISK")</f>
        <v>LOW RISK</v>
      </c>
      <c r="AD12" t="str" cm="1">
        <f t="array" ref="AD12">_xlfn.IFS(AD9&gt;5%,"HIGH RISK",AD9&lt;2%,"LOW RISK",OR(AD9&gt;2%,AD9&lt;5%),"MODERATE RISK")</f>
        <v>LOW RISK</v>
      </c>
      <c r="AE12" t="str" cm="1">
        <f t="array" ref="AE12">_xlfn.IFS(AE9&gt;5%,"HIGH RISK",AE9&lt;2%,"LOW RISK",OR(AE9&gt;2%,AE9&lt;5%),"MODERATE RISK")</f>
        <v>LOW RISK</v>
      </c>
      <c r="AF12" t="str" cm="1">
        <f t="array" ref="AF12">_xlfn.IFS(AF9&gt;5%,"HIGH RISK",AF9&lt;2%,"LOW RISK",OR(AF9&gt;2%,AF9&lt;5%),"MODERATE RISK")</f>
        <v>LOW RISK</v>
      </c>
      <c r="AG12" t="str" cm="1">
        <f t="array" ref="AG12">_xlfn.IFS(AG9&gt;5%,"HIGH RISK",AG9&lt;2%,"LOW RISK",OR(AG9&gt;2%,AG9&lt;5%),"MODERATE RISK")</f>
        <v>MODERATE RISK</v>
      </c>
      <c r="AH12" t="str" cm="1">
        <f t="array" ref="AH12">_xlfn.IFS(AH9&gt;5%,"HIGH RISK",AH9&lt;2%,"LOW RISK",OR(AH9&gt;2%,AH9&lt;5%),"MODERATE RISK")</f>
        <v>HIGH RISK</v>
      </c>
      <c r="AI12" t="str" cm="1">
        <f t="array" ref="AI12">_xlfn.IFS(AI9&gt;5%,"HIGH RISK",AI9&lt;2%,"LOW RISK",OR(AI9&gt;2%,AI9&lt;5%),"MODERATE RISK")</f>
        <v>LOW RISK</v>
      </c>
      <c r="AJ12" t="str" cm="1">
        <f t="array" ref="AJ12">_xlfn.IFS(AJ9&gt;5%,"HIGH RISK",AJ9&lt;2%,"LOW RISK",OR(AJ9&gt;2%,AJ9&lt;5%),"MODERATE RISK")</f>
        <v>HIGH RISK</v>
      </c>
      <c r="AK12" t="str" cm="1">
        <f t="array" ref="AK12">_xlfn.IFS(AK9&gt;5%,"HIGH RISK",AK9&lt;2%,"LOW RISK",OR(AK9&gt;2%,AK9&lt;5%),"MODERATE RISK")</f>
        <v>MODERATE RISK</v>
      </c>
      <c r="AL12" t="str" cm="1">
        <f t="array" ref="AL12">_xlfn.IFS(AL9&gt;5%,"HIGH RISK",AL9&lt;2%,"LOW RISK",OR(AL9&gt;2%,AL9&lt;5%),"MODERATE RISK")</f>
        <v>HIGH RISK</v>
      </c>
      <c r="AM12" t="str" cm="1">
        <f t="array" ref="AM12">_xlfn.IFS(AM9&gt;5%,"HIGH RISK",AM9&lt;2%,"LOW RISK",OR(AM9&gt;2%,AM9&lt;5%),"MODERATE RISK")</f>
        <v>MODERATE RISK</v>
      </c>
      <c r="AN12" t="str" cm="1">
        <f t="array" ref="AN12">_xlfn.IFS(AN9&gt;5%,"HIGH RISK",AN9&lt;2%,"LOW RISK",OR(AN9&gt;2%,AN9&lt;5%),"MODERATE RISK")</f>
        <v>LOW RISK</v>
      </c>
      <c r="AO12" t="str" cm="1">
        <f t="array" ref="AO12">_xlfn.IFS(AO9&gt;5%,"HIGH RISK",AO9&lt;2%,"LOW RISK",OR(AO9&gt;2%,AO9&lt;5%),"MODERATE RISK")</f>
        <v>LOW RISK</v>
      </c>
      <c r="AP12" t="str" cm="1">
        <f t="array" ref="AP12">_xlfn.IFS(AP9&gt;5%,"HIGH RISK",AP9&lt;2%,"LOW RISK",OR(AP9&gt;2%,AP9&lt;5%),"MODERATE RISK")</f>
        <v>MODERATE RISK</v>
      </c>
      <c r="AQ12" t="str" cm="1">
        <f t="array" ref="AQ12">_xlfn.IFS(AQ9&gt;5%,"HIGH RISK",AQ9&lt;2%,"LOW RISK",OR(AQ9&gt;2%,AQ9&lt;5%),"MODERATE RISK")</f>
        <v>LOW RISK</v>
      </c>
      <c r="AR12" t="str" cm="1">
        <f t="array" ref="AR12">_xlfn.IFS(AR9&gt;5%,"HIGH RISK",AR9&lt;2%,"LOW RISK",OR(AR9&gt;2%,AR9&lt;5%),"MODERATE RISK")</f>
        <v>LOW RISK</v>
      </c>
      <c r="AS12" t="str" cm="1">
        <f t="array" ref="AS12">_xlfn.IFS(AS9&gt;5%,"HIGH RISK",AS9&lt;2%,"LOW RISK",OR(AS9&gt;2%,AS9&lt;5%),"MODERATE RISK")</f>
        <v>MODERATE RISK</v>
      </c>
      <c r="AT12" t="str" cm="1">
        <f t="array" ref="AT12">_xlfn.IFS(AT9&gt;5%,"HIGH RISK",AT9&lt;2%,"LOW RISK",OR(AT9&gt;2%,AT9&lt;5%),"MODERATE RISK")</f>
        <v>MODERATE RISK</v>
      </c>
      <c r="AU12" t="str" cm="1">
        <f t="array" ref="AU12">_xlfn.IFS(AU9&gt;5%,"HIGH RISK",AU9&lt;2%,"LOW RISK",OR(AU9&gt;2%,AU9&lt;5%),"MODERATE RISK")</f>
        <v>LOW RISK</v>
      </c>
      <c r="AV12" t="str" cm="1">
        <f t="array" ref="AV12">_xlfn.IFS(AV9&gt;5%,"HIGH RISK",AV9&lt;2%,"LOW RISK",OR(AV9&gt;2%,AV9&lt;5%),"MODERATE RISK")</f>
        <v>MODERATE RISK</v>
      </c>
      <c r="AW12" t="str" cm="1">
        <f t="array" ref="AW12">_xlfn.IFS(AW9&gt;5%,"HIGH RISK",AW9&lt;2%,"LOW RISK",OR(AW9&gt;2%,AW9&lt;5%),"MODERATE RISK")</f>
        <v>MODERATE RISK</v>
      </c>
      <c r="AX12" t="str" cm="1">
        <f t="array" ref="AX12">_xlfn.IFS(AX9&gt;5%,"HIGH RISK",AX9&lt;2%,"LOW RISK",OR(AX9&gt;2%,AX9&lt;5%),"MODERATE RISK")</f>
        <v>LOW RISK</v>
      </c>
      <c r="AY12" t="str" cm="1">
        <f t="array" ref="AY12">_xlfn.IFS(AY9&gt;5%,"HIGH RISK",AY9&lt;2%,"LOW RISK",OR(AY9&gt;2%,AY9&lt;5%),"MODERATE RISK")</f>
        <v>LOW RISK</v>
      </c>
      <c r="AZ12" t="str" cm="1">
        <f t="array" ref="AZ12">_xlfn.IFS(AZ9&gt;5%,"HIGH RISK",AZ9&lt;2%,"LOW RISK",OR(AZ9&gt;2%,AZ9&lt;5%),"MODERATE RISK")</f>
        <v>LOW RISK</v>
      </c>
      <c r="BA12" t="str" cm="1">
        <f t="array" ref="BA12">_xlfn.IFS(BA9&gt;5%,"HIGH RISK",BA9&lt;2%,"LOW RISK",OR(BA9&gt;2%,BA9&lt;5%),"MODERATE RISK")</f>
        <v>HIGH RISK</v>
      </c>
      <c r="BB12" t="str" cm="1">
        <f t="array" ref="BB12">_xlfn.IFS(BB9&gt;5%,"HIGH RISK",BB9&lt;2%,"LOW RISK",OR(BB9&gt;2%,BB9&lt;5%),"MODERATE RISK")</f>
        <v>HIGH RISK</v>
      </c>
      <c r="BC12" t="str" cm="1">
        <f t="array" ref="BC12">_xlfn.IFS(BC9&gt;5%,"HIGH RISK",BC9&lt;2%,"LOW RISK",OR(BC9&gt;2%,BC9&lt;5%),"MODERATE RISK")</f>
        <v>MODERATE RISK</v>
      </c>
      <c r="BD12" t="str" cm="1">
        <f t="array" ref="BD12">_xlfn.IFS(BD9&gt;5%,"HIGH RISK",BD9&lt;2%,"LOW RISK",OR(BD9&gt;2%,BD9&lt;5%),"MODERATE RISK")</f>
        <v>LOW RISK</v>
      </c>
      <c r="BE12" t="str" cm="1">
        <f t="array" ref="BE12">_xlfn.IFS(BE9&gt;5%,"HIGH RISK",BE9&lt;2%,"LOW RISK",OR(BE9&gt;2%,BE9&lt;5%),"MODERATE RISK")</f>
        <v>LOW RISK</v>
      </c>
      <c r="BF12" t="str" cm="1">
        <f t="array" ref="BF12">_xlfn.IFS(BF9&gt;5%,"HIGH RISK",BF9&lt;2%,"LOW RISK",OR(BF9&gt;2%,BF9&lt;5%),"MODERATE RISK")</f>
        <v>MODERATE RISK</v>
      </c>
      <c r="BG12" t="str" cm="1">
        <f t="array" ref="BG12">_xlfn.IFS(BG9&gt;5%,"HIGH RISK",BG9&lt;2%,"LOW RISK",OR(BG9&gt;2%,BG9&lt;5%),"MODERATE RISK")</f>
        <v>LOW RISK</v>
      </c>
      <c r="BH12" t="str" cm="1">
        <f t="array" ref="BH12">_xlfn.IFS(BH9&gt;5%,"HIGH RISK",BH9&lt;2%,"LOW RISK",OR(BH9&gt;2%,BH9&lt;5%),"MODERATE RISK")</f>
        <v>LOW RISK</v>
      </c>
      <c r="BI12" t="str" cm="1">
        <f t="array" ref="BI12">_xlfn.IFS(BI9&gt;5%,"HIGH RISK",BI9&lt;2%,"LOW RISK",OR(BI9&gt;2%,BI9&lt;5%),"MODERATE RISK")</f>
        <v>LOW RISK</v>
      </c>
      <c r="BJ12" t="str" cm="1">
        <f t="array" ref="BJ12">_xlfn.IFS(BJ9&gt;5%,"HIGH RISK",BJ9&lt;2%,"LOW RISK",OR(BJ9&gt;2%,BJ9&lt;5%),"MODERATE RISK")</f>
        <v>MODERATE RISK</v>
      </c>
      <c r="BK12" t="str" cm="1">
        <f t="array" ref="BK12">_xlfn.IFS(BK9&gt;5%,"HIGH RISK",BK9&lt;2%,"LOW RISK",OR(BK9&gt;2%,BK9&lt;5%),"MODERATE RISK")</f>
        <v>HIGH RISK</v>
      </c>
      <c r="BL12" t="str" cm="1">
        <f t="array" ref="BL12">_xlfn.IFS(BL9&gt;5%,"HIGH RISK",BL9&lt;2%,"LOW RISK",OR(BL9&gt;2%,BL9&lt;5%),"MODERATE RISK")</f>
        <v>LOW RISK</v>
      </c>
      <c r="BM12" t="str" cm="1">
        <f t="array" ref="BM12">_xlfn.IFS(BM9&gt;5%,"HIGH RISK",BM9&lt;2%,"LOW RISK",OR(BM9&gt;2%,BM9&lt;5%),"MODERATE RISK")</f>
        <v>MODERATE RISK</v>
      </c>
      <c r="BN12" t="str" cm="1">
        <f t="array" ref="BN12">_xlfn.IFS(BN9&gt;5%,"HIGH RISK",BN9&lt;2%,"LOW RISK",OR(BN9&gt;2%,BN9&lt;5%),"MODERATE RISK")</f>
        <v>LOW RISK</v>
      </c>
      <c r="BO12" t="str" cm="1">
        <f t="array" ref="BO12">_xlfn.IFS(BO9&gt;5%,"HIGH RISK",BO9&lt;2%,"LOW RISK",OR(BO9&gt;2%,BO9&lt;5%),"MODERATE RISK")</f>
        <v>MODERATE RISK</v>
      </c>
      <c r="BP12" t="str" cm="1">
        <f t="array" ref="BP12">_xlfn.IFS(BP9&gt;5%,"HIGH RISK",BP9&lt;2%,"LOW RISK",OR(BP9&gt;2%,BP9&lt;5%),"MODERATE RISK")</f>
        <v>LOW RISK</v>
      </c>
      <c r="BQ12" t="str" cm="1">
        <f t="array" ref="BQ12">_xlfn.IFS(BQ9&gt;5%,"HIGH RISK",BQ9&lt;2%,"LOW RISK",OR(BQ9&gt;2%,BQ9&lt;5%),"MODERATE RISK")</f>
        <v>MODERATE RISK</v>
      </c>
      <c r="BR12" t="str" cm="1">
        <f t="array" ref="BR12">_xlfn.IFS(BR9&gt;5%,"HIGH RISK",BR9&lt;2%,"LOW RISK",OR(BR9&gt;2%,BR9&lt;5%),"MODERATE RISK")</f>
        <v>LOW RISK</v>
      </c>
      <c r="BS12" t="str" cm="1">
        <f t="array" ref="BS12">_xlfn.IFS(BS9&gt;5%,"HIGH RISK",BS9&lt;2%,"LOW RISK",OR(BS9&gt;2%,BS9&lt;5%),"MODERATE RISK")</f>
        <v>LOW RISK</v>
      </c>
      <c r="BT12" t="str" cm="1">
        <f t="array" ref="BT12">_xlfn.IFS(BT9&gt;5%,"HIGH RISK",BT9&lt;2%,"LOW RISK",OR(BT9&gt;2%,BT9&lt;5%),"MODERATE RISK")</f>
        <v>MODERATE RISK</v>
      </c>
      <c r="BU12" t="str" cm="1">
        <f t="array" ref="BU12">_xlfn.IFS(BU9&gt;5%,"HIGH RISK",BU9&lt;2%,"LOW RISK",OR(BU9&gt;2%,BU9&lt;5%),"MODERATE RISK")</f>
        <v>LOW RISK</v>
      </c>
      <c r="BV12" t="str" cm="1">
        <f t="array" ref="BV12">_xlfn.IFS(BV9&gt;5%,"HIGH RISK",BV9&lt;2%,"LOW RISK",OR(BV9&gt;2%,BV9&lt;5%),"MODERATE RISK")</f>
        <v>LOW RISK</v>
      </c>
      <c r="BW12" t="str" cm="1">
        <f t="array" ref="BW12">_xlfn.IFS(BW9&gt;5%,"HIGH RISK",BW9&lt;2%,"LOW RISK",OR(BW9&gt;2%,BW9&lt;5%),"MODERATE RISK")</f>
        <v>HIGH RISK</v>
      </c>
      <c r="BX12" t="str" cm="1">
        <f t="array" ref="BX12">_xlfn.IFS(BX9&gt;5%,"HIGH RISK",BX9&lt;2%,"LOW RISK",OR(BX9&gt;2%,BX9&lt;5%),"MODERATE RISK")</f>
        <v>MODERATE RISK</v>
      </c>
      <c r="BY12" t="str" cm="1">
        <f t="array" ref="BY12">_xlfn.IFS(BY9&gt;5%,"HIGH RISK",BY9&lt;2%,"LOW RISK",OR(BY9&gt;2%,BY9&lt;5%),"MODERATE RISK")</f>
        <v>LOW RISK</v>
      </c>
      <c r="BZ12" t="str" cm="1">
        <f t="array" ref="BZ12">_xlfn.IFS(BZ9&gt;5%,"HIGH RISK",BZ9&lt;2%,"LOW RISK",OR(BZ9&gt;2%,BZ9&lt;5%),"MODERATE RISK")</f>
        <v>MODERATE RISK</v>
      </c>
      <c r="CA12" t="str" cm="1">
        <f t="array" ref="CA12">_xlfn.IFS(CA9&gt;5%,"HIGH RISK",CA9&lt;2%,"LOW RISK",OR(CA9&gt;2%,CA9&lt;5%),"MODERATE RISK")</f>
        <v>HIGH RISK</v>
      </c>
      <c r="CB12" t="str" cm="1">
        <f t="array" ref="CB12">_xlfn.IFS(CB9&gt;5%,"HIGH RISK",CB9&lt;2%,"LOW RISK",OR(CB9&gt;2%,CB9&lt;5%),"MODERATE RISK")</f>
        <v>LOW RISK</v>
      </c>
      <c r="CC12" t="str" cm="1">
        <f t="array" ref="CC12">_xlfn.IFS(CC9&gt;5%,"HIGH RISK",CC9&lt;2%,"LOW RISK",OR(CC9&gt;2%,CC9&lt;5%),"MODERATE RISK")</f>
        <v>MODERATE RISK</v>
      </c>
      <c r="CD12" t="str" cm="1">
        <f t="array" ref="CD12">_xlfn.IFS(CD9&gt;5%,"HIGH RISK",CD9&lt;2%,"LOW RISK",OR(CD9&gt;2%,CD9&lt;5%),"MODERATE RISK")</f>
        <v>MODERATE RISK</v>
      </c>
      <c r="CE12" t="str" cm="1">
        <f t="array" ref="CE12">_xlfn.IFS(CE9&gt;5%,"HIGH RISK",CE9&lt;2%,"LOW RISK",OR(CE9&gt;2%,CE9&lt;5%),"MODERATE RISK")</f>
        <v>HIGH RISK</v>
      </c>
      <c r="CF12" t="str" cm="1">
        <f t="array" ref="CF12">_xlfn.IFS(CF9&gt;5%,"HIGH RISK",CF9&lt;2%,"LOW RISK",OR(CF9&gt;2%,CF9&lt;5%),"MODERATE RISK")</f>
        <v>MODERATE RISK</v>
      </c>
      <c r="CG12" t="str" cm="1">
        <f t="array" ref="CG12">_xlfn.IFS(CG9&gt;5%,"HIGH RISK",CG9&lt;2%,"LOW RISK",OR(CG9&gt;2%,CG9&lt;5%),"MODERATE RISK")</f>
        <v>HIGH RISK</v>
      </c>
      <c r="CH12" t="str" cm="1">
        <f t="array" ref="CH12">_xlfn.IFS(CH9&gt;5%,"HIGH RISK",CH9&lt;2%,"LOW RISK",OR(CH9&gt;2%,CH9&lt;5%),"MODERATE RISK")</f>
        <v>LOW RISK</v>
      </c>
      <c r="CI12" t="str" cm="1">
        <f t="array" ref="CI12">_xlfn.IFS(CI9&gt;5%,"HIGH RISK",CI9&lt;2%,"LOW RISK",OR(CI9&gt;2%,CI9&lt;5%),"MODERATE RISK")</f>
        <v>HIGH RISK</v>
      </c>
      <c r="CJ12" t="str" cm="1">
        <f t="array" ref="CJ12">_xlfn.IFS(CJ9&gt;5%,"HIGH RISK",CJ9&lt;2%,"LOW RISK",OR(CJ9&gt;2%,CJ9&lt;5%),"MODERATE RISK")</f>
        <v>LOW RISK</v>
      </c>
      <c r="CK12" t="str" cm="1">
        <f t="array" ref="CK12">_xlfn.IFS(CK9&gt;5%,"HIGH RISK",CK9&lt;2%,"LOW RISK",OR(CK9&gt;2%,CK9&lt;5%),"MODERATE RISK")</f>
        <v>MODERATE RISK</v>
      </c>
      <c r="CL12" t="str" cm="1">
        <f t="array" ref="CL12">_xlfn.IFS(CL9&gt;5%,"HIGH RISK",CL9&lt;2%,"LOW RISK",OR(CL9&gt;2%,CL9&lt;5%),"MODERATE RISK")</f>
        <v>LOW RISK</v>
      </c>
      <c r="CM12" t="str" cm="1">
        <f t="array" ref="CM12">_xlfn.IFS(CM9&gt;5%,"HIGH RISK",CM9&lt;2%,"LOW RISK",OR(CM9&gt;2%,CM9&lt;5%),"MODERATE RISK")</f>
        <v>LOW RISK</v>
      </c>
      <c r="CN12" t="str" cm="1">
        <f t="array" ref="CN12">_xlfn.IFS(CN9&gt;5%,"HIGH RISK",CN9&lt;2%,"LOW RISK",OR(CN9&gt;2%,CN9&lt;5%),"MODERATE RISK")</f>
        <v>LOW RISK</v>
      </c>
      <c r="CO12" t="str" cm="1">
        <f t="array" ref="CO12">_xlfn.IFS(CO9&gt;5%,"HIGH RISK",CO9&lt;2%,"LOW RISK",OR(CO9&gt;2%,CO9&lt;5%),"MODERATE RISK")</f>
        <v>MODERATE RISK</v>
      </c>
      <c r="CP12" t="str" cm="1">
        <f t="array" ref="CP12">_xlfn.IFS(CP9&gt;5%,"HIGH RISK",CP9&lt;2%,"LOW RISK",OR(CP9&gt;2%,CP9&lt;5%),"MODERATE RISK")</f>
        <v>LOW RISK</v>
      </c>
      <c r="CQ12" t="str" cm="1">
        <f t="array" ref="CQ12">_xlfn.IFS(CQ9&gt;5%,"HIGH RISK",CQ9&lt;2%,"LOW RISK",OR(CQ9&gt;2%,CQ9&lt;5%),"MODERATE RISK")</f>
        <v>MODERATE RISK</v>
      </c>
      <c r="CR12" t="str" cm="1">
        <f t="array" ref="CR12">_xlfn.IFS(CR9&gt;5%,"HIGH RISK",CR9&lt;2%,"LOW RISK",OR(CR9&gt;2%,CR9&lt;5%),"MODERATE RISK")</f>
        <v>LOW RISK</v>
      </c>
      <c r="CS12" t="str" cm="1">
        <f t="array" ref="CS12">_xlfn.IFS(CS9&gt;5%,"HIGH RISK",CS9&lt;2%,"LOW RISK",OR(CS9&gt;2%,CS9&lt;5%),"MODERATE RISK")</f>
        <v>MODERATE RISK</v>
      </c>
      <c r="CT12" t="str" cm="1">
        <f t="array" ref="CT12">_xlfn.IFS(CT9&gt;5%,"HIGH RISK",CT9&lt;2%,"LOW RISK",OR(CT9&gt;2%,CT9&lt;5%),"MODERATE RISK")</f>
        <v>LOW RISK</v>
      </c>
      <c r="CU12" t="str" cm="1">
        <f t="array" ref="CU12">_xlfn.IFS(CU9&gt;5%,"HIGH RISK",CU9&lt;2%,"LOW RISK",OR(CU9&gt;2%,CU9&lt;5%),"MODERATE RISK")</f>
        <v>MODERATE RISK</v>
      </c>
      <c r="CV12" t="str" cm="1">
        <f t="array" ref="CV12">_xlfn.IFS(CV9&gt;5%,"HIGH RISK",CV9&lt;2%,"LOW RISK",OR(CV9&gt;2%,CV9&lt;5%),"MODERATE RISK")</f>
        <v>HIGH RISK</v>
      </c>
      <c r="CW12" t="str" cm="1">
        <f t="array" ref="CW12">_xlfn.IFS(CW9&gt;5%,"HIGH RISK",CW9&lt;2%,"LOW RISK",OR(CW9&gt;2%,CW9&lt;5%),"MODERATE RISK")</f>
        <v>MODERATE RISK</v>
      </c>
      <c r="CX12" t="str" cm="1">
        <f t="array" ref="CX12">_xlfn.IFS(CX9&gt;5%,"HIGH RISK",CX9&lt;2%,"LOW RISK",OR(CX9&gt;2%,CX9&lt;5%),"MODERATE RISK")</f>
        <v>LOW RISK</v>
      </c>
      <c r="CY12" t="str" cm="1">
        <f t="array" ref="CY12">_xlfn.IFS(CY9&gt;5%,"HIGH RISK",CY9&lt;2%,"LOW RISK",OR(CY9&gt;2%,CY9&lt;5%),"MODERATE RISK")</f>
        <v>MODERATE RISK</v>
      </c>
      <c r="CZ12" t="str" cm="1">
        <f t="array" ref="CZ12">_xlfn.IFS(CZ9&gt;5%,"HIGH RISK",CZ9&lt;2%,"LOW RISK",OR(CZ9&gt;2%,CZ9&lt;5%),"MODERATE RISK")</f>
        <v>LOW RISK</v>
      </c>
      <c r="DA12" t="str" cm="1">
        <f t="array" ref="DA12">_xlfn.IFS(DA9&gt;5%,"HIGH RISK",DA9&lt;2%,"LOW RISK",OR(DA9&gt;2%,DA9&lt;5%),"MODERATE RISK")</f>
        <v>LOW RISK</v>
      </c>
      <c r="DB12" t="str" cm="1">
        <f t="array" ref="DB12">_xlfn.IFS(DB9&gt;5%,"HIGH RISK",DB9&lt;2%,"LOW RISK",OR(DB9&gt;2%,DB9&lt;5%),"MODERATE RISK")</f>
        <v>MODERATE RISK</v>
      </c>
      <c r="DC12" t="str" cm="1">
        <f t="array" ref="DC12">_xlfn.IFS(DC9&gt;5%,"HIGH RISK",DC9&lt;2%,"LOW RISK",OR(DC9&gt;2%,DC9&lt;5%),"MODERATE RISK")</f>
        <v>LOW RISK</v>
      </c>
      <c r="DD12" t="str" cm="1">
        <f t="array" ref="DD12">_xlfn.IFS(DD9&gt;5%,"HIGH RISK",DD9&lt;2%,"LOW RISK",OR(DD9&gt;2%,DD9&lt;5%),"MODERATE RISK")</f>
        <v>LOW RISK</v>
      </c>
      <c r="DE12" t="str" cm="1">
        <f t="array" ref="DE12">_xlfn.IFS(DE9&gt;5%,"HIGH RISK",DE9&lt;2%,"LOW RISK",OR(DE9&gt;2%,DE9&lt;5%),"MODERATE RISK")</f>
        <v>MODERATE RISK</v>
      </c>
      <c r="DF12" t="str" cm="1">
        <f t="array" ref="DF12">_xlfn.IFS(DF9&gt;5%,"HIGH RISK",DF9&lt;2%,"LOW RISK",OR(DF9&gt;2%,DF9&lt;5%),"MODERATE RISK")</f>
        <v>LOW RISK</v>
      </c>
      <c r="DG12" t="str" cm="1">
        <f t="array" ref="DG12">_xlfn.IFS(DG9&gt;5%,"HIGH RISK",DG9&lt;2%,"LOW RISK",OR(DG9&gt;2%,DG9&lt;5%),"MODERATE RISK")</f>
        <v>MODERATE RISK</v>
      </c>
      <c r="DH12" t="str" cm="1">
        <f t="array" ref="DH12">_xlfn.IFS(DH9&gt;5%,"HIGH RISK",DH9&lt;2%,"LOW RISK",OR(DH9&gt;2%,DH9&lt;5%),"MODERATE RISK")</f>
        <v>MODERATE RISK</v>
      </c>
      <c r="DI12" t="str" cm="1">
        <f t="array" ref="DI12">_xlfn.IFS(DI9&gt;5%,"HIGH RISK",DI9&lt;2%,"LOW RISK",OR(DI9&gt;2%,DI9&lt;5%),"MODERATE RISK")</f>
        <v>HIGH RISK</v>
      </c>
      <c r="DJ12" t="str" cm="1">
        <f t="array" ref="DJ12">_xlfn.IFS(DJ9&gt;5%,"HIGH RISK",DJ9&lt;2%,"LOW RISK",OR(DJ9&gt;2%,DJ9&lt;5%),"MODERATE RISK")</f>
        <v>MODERATE RISK</v>
      </c>
      <c r="DK12" t="str" cm="1">
        <f t="array" ref="DK12">_xlfn.IFS(DK9&gt;5%,"HIGH RISK",DK9&lt;2%,"LOW RISK",OR(DK9&gt;2%,DK9&lt;5%),"MODERATE RISK")</f>
        <v>MODERATE RISK</v>
      </c>
      <c r="DL12" t="str" cm="1">
        <f t="array" ref="DL12">_xlfn.IFS(DL9&gt;5%,"HIGH RISK",DL9&lt;2%,"LOW RISK",OR(DL9&gt;2%,DL9&lt;5%),"MODERATE RISK")</f>
        <v>LOW RISK</v>
      </c>
      <c r="DM12" t="str" cm="1">
        <f t="array" ref="DM12">_xlfn.IFS(DM9&gt;5%,"HIGH RISK",DM9&lt;2%,"LOW RISK",OR(DM9&gt;2%,DM9&lt;5%),"MODERATE RISK")</f>
        <v>LOW RISK</v>
      </c>
      <c r="DN12" t="str" cm="1">
        <f t="array" ref="DN12">_xlfn.IFS(DN9&gt;5%,"HIGH RISK",DN9&lt;2%,"LOW RISK",OR(DN9&gt;2%,DN9&lt;5%),"MODERATE RISK")</f>
        <v>LOW RISK</v>
      </c>
      <c r="DO12" t="str" cm="1">
        <f t="array" ref="DO12">_xlfn.IFS(DO9&gt;5%,"HIGH RISK",DO9&lt;2%,"LOW RISK",OR(DO9&gt;2%,DO9&lt;5%),"MODERATE RISK")</f>
        <v>LOW RISK</v>
      </c>
      <c r="DP12" t="str" cm="1">
        <f t="array" ref="DP12">_xlfn.IFS(DP9&gt;5%,"HIGH RISK",DP9&lt;2%,"LOW RISK",OR(DP9&gt;2%,DP9&lt;5%),"MODERATE RISK")</f>
        <v>LOW RISK</v>
      </c>
      <c r="DQ12" t="str" cm="1">
        <f t="array" ref="DQ12">_xlfn.IFS(DQ9&gt;5%,"HIGH RISK",DQ9&lt;2%,"LOW RISK",OR(DQ9&gt;2%,DQ9&lt;5%),"MODERATE RISK")</f>
        <v>LOW RISK</v>
      </c>
      <c r="DR12" t="str" cm="1">
        <f t="array" ref="DR12">_xlfn.IFS(DR9&gt;5%,"HIGH RISK",DR9&lt;2%,"LOW RISK",OR(DR9&gt;2%,DR9&lt;5%),"MODERATE RISK")</f>
        <v>HIGH RISK</v>
      </c>
      <c r="DS12" t="str" cm="1">
        <f t="array" ref="DS12">_xlfn.IFS(DS9&gt;5%,"HIGH RISK",DS9&lt;2%,"LOW RISK",OR(DS9&gt;2%,DS9&lt;5%),"MODERATE RISK")</f>
        <v>LOW RISK</v>
      </c>
      <c r="DT12" t="str" cm="1">
        <f t="array" ref="DT12">_xlfn.IFS(DT9&gt;5%,"HIGH RISK",DT9&lt;2%,"LOW RISK",OR(DT9&gt;2%,DT9&lt;5%),"MODERATE RISK")</f>
        <v>MODERATE RISK</v>
      </c>
      <c r="DU12" t="str" cm="1">
        <f t="array" ref="DU12">_xlfn.IFS(DU9&gt;5%,"HIGH RISK",DU9&lt;2%,"LOW RISK",OR(DU9&gt;2%,DU9&lt;5%),"MODERATE RISK")</f>
        <v>HIGH RISK</v>
      </c>
      <c r="DV12" t="str" cm="1">
        <f t="array" ref="DV12">_xlfn.IFS(DV9&gt;5%,"HIGH RISK",DV9&lt;2%,"LOW RISK",OR(DV9&gt;2%,DV9&lt;5%),"MODERATE RISK")</f>
        <v>MODERATE RISK</v>
      </c>
      <c r="DW12" t="str" cm="1">
        <f t="array" ref="DW12">_xlfn.IFS(DW9&gt;5%,"HIGH RISK",DW9&lt;2%,"LOW RISK",OR(DW9&gt;2%,DW9&lt;5%),"MODERATE RISK")</f>
        <v>MODERATE RISK</v>
      </c>
      <c r="DX12" t="str" cm="1">
        <f t="array" ref="DX12">_xlfn.IFS(DX9&gt;5%,"HIGH RISK",DX9&lt;2%,"LOW RISK",OR(DX9&gt;2%,DX9&lt;5%),"MODERATE RISK")</f>
        <v>MODERATE RISK</v>
      </c>
      <c r="DY12" t="str" cm="1">
        <f t="array" ref="DY12">_xlfn.IFS(DY9&gt;5%,"HIGH RISK",DY9&lt;2%,"LOW RISK",OR(DY9&gt;2%,DY9&lt;5%),"MODERATE RISK")</f>
        <v>LOW RISK</v>
      </c>
      <c r="DZ12" t="str" cm="1">
        <f t="array" ref="DZ12">_xlfn.IFS(DZ9&gt;5%,"HIGH RISK",DZ9&lt;2%,"LOW RISK",OR(DZ9&gt;2%,DZ9&lt;5%),"MODERATE RISK")</f>
        <v>MODERATE RISK</v>
      </c>
      <c r="EA12" t="str" cm="1">
        <f t="array" ref="EA12">_xlfn.IFS(EA9&gt;5%,"HIGH RISK",EA9&lt;2%,"LOW RISK",OR(EA9&gt;2%,EA9&lt;5%),"MODERATE RISK")</f>
        <v>MODERATE RISK</v>
      </c>
      <c r="EB12" t="str" cm="1">
        <f t="array" ref="EB12">_xlfn.IFS(EB9&gt;5%,"HIGH RISK",EB9&lt;2%,"LOW RISK",OR(EB9&gt;2%,EB9&lt;5%),"MODERATE RISK")</f>
        <v>LOW RISK</v>
      </c>
      <c r="EC12" t="str" cm="1">
        <f t="array" ref="EC12">_xlfn.IFS(EC9&gt;5%,"HIGH RISK",EC9&lt;2%,"LOW RISK",OR(EC9&gt;2%,EC9&lt;5%),"MODERATE RISK")</f>
        <v>LOW RISK</v>
      </c>
      <c r="ED12" t="str" cm="1">
        <f t="array" ref="ED12">_xlfn.IFS(ED9&gt;5%,"HIGH RISK",ED9&lt;2%,"LOW RISK",OR(ED9&gt;2%,ED9&lt;5%),"MODERATE RISK")</f>
        <v>MODERATE RISK</v>
      </c>
      <c r="EE12" t="str" cm="1">
        <f t="array" ref="EE12">_xlfn.IFS(EE9&gt;5%,"HIGH RISK",EE9&lt;2%,"LOW RISK",OR(EE9&gt;2%,EE9&lt;5%),"MODERATE RISK")</f>
        <v>MODERATE RISK</v>
      </c>
      <c r="EF12" t="str" cm="1">
        <f t="array" ref="EF12">_xlfn.IFS(EF9&gt;5%,"HIGH RISK",EF9&lt;2%,"LOW RISK",OR(EF9&gt;2%,EF9&lt;5%),"MODERATE RISK")</f>
        <v>MODERATE RISK</v>
      </c>
      <c r="EG12" t="str" cm="1">
        <f t="array" ref="EG12">_xlfn.IFS(EG9&gt;5%,"HIGH RISK",EG9&lt;2%,"LOW RISK",OR(EG9&gt;2%,EG9&lt;5%),"MODERATE RISK")</f>
        <v>MODERATE RISK</v>
      </c>
      <c r="EH12" t="str" cm="1">
        <f t="array" ref="EH12">_xlfn.IFS(EH9&gt;5%,"HIGH RISK",EH9&lt;2%,"LOW RISK",OR(EH9&gt;2%,EH9&lt;5%),"MODERATE RISK")</f>
        <v>LOW RISK</v>
      </c>
      <c r="EI12" t="str" cm="1">
        <f t="array" ref="EI12">_xlfn.IFS(EI9&gt;5%,"HIGH RISK",EI9&lt;2%,"LOW RISK",OR(EI9&gt;2%,EI9&lt;5%),"MODERATE RISK")</f>
        <v>MODERATE RISK</v>
      </c>
      <c r="EJ12" t="str" cm="1">
        <f t="array" ref="EJ12">_xlfn.IFS(EJ9&gt;5%,"HIGH RISK",EJ9&lt;2%,"LOW RISK",OR(EJ9&gt;2%,EJ9&lt;5%),"MODERATE RISK")</f>
        <v>LOW RISK</v>
      </c>
      <c r="EK12" t="str" cm="1">
        <f t="array" ref="EK12">_xlfn.IFS(EK9&gt;5%,"HIGH RISK",EK9&lt;2%,"LOW RISK",OR(EK9&gt;2%,EK9&lt;5%),"MODERATE RISK")</f>
        <v>LOW RISK</v>
      </c>
      <c r="EL12" t="str" cm="1">
        <f t="array" ref="EL12">_xlfn.IFS(EL9&gt;5%,"HIGH RISK",EL9&lt;2%,"LOW RISK",OR(EL9&gt;2%,EL9&lt;5%),"MODERATE RISK")</f>
        <v>LOW RISK</v>
      </c>
      <c r="EM12" t="str" cm="1">
        <f t="array" ref="EM12">_xlfn.IFS(EM9&gt;5%,"HIGH RISK",EM9&lt;2%,"LOW RISK",OR(EM9&gt;2%,EM9&lt;5%),"MODERATE RISK")</f>
        <v>LOW RISK</v>
      </c>
      <c r="EN12" t="str" cm="1">
        <f t="array" ref="EN12">_xlfn.IFS(EN9&gt;5%,"HIGH RISK",EN9&lt;2%,"LOW RISK",OR(EN9&gt;2%,EN9&lt;5%),"MODERATE RISK")</f>
        <v>LOW RISK</v>
      </c>
      <c r="EO12" t="str" cm="1">
        <f t="array" ref="EO12">_xlfn.IFS(EO9&gt;5%,"HIGH RISK",EO9&lt;2%,"LOW RISK",OR(EO9&gt;2%,EO9&lt;5%),"MODERATE RISK")</f>
        <v>HIGH RISK</v>
      </c>
      <c r="EP12" t="str" cm="1">
        <f t="array" ref="EP12">_xlfn.IFS(EP9&gt;5%,"HIGH RISK",EP9&lt;2%,"LOW RISK",OR(EP9&gt;2%,EP9&lt;5%),"MODERATE RISK")</f>
        <v>LOW RISK</v>
      </c>
      <c r="EQ12" t="str" cm="1">
        <f t="array" ref="EQ12">_xlfn.IFS(EQ9&gt;5%,"HIGH RISK",EQ9&lt;2%,"LOW RISK",OR(EQ9&gt;2%,EQ9&lt;5%),"MODERATE RISK")</f>
        <v>LOW RISK</v>
      </c>
      <c r="ER12" t="str" cm="1">
        <f t="array" ref="ER12">_xlfn.IFS(ER9&gt;5%,"HIGH RISK",ER9&lt;2%,"LOW RISK",OR(ER9&gt;2%,ER9&lt;5%),"MODERATE RISK")</f>
        <v>LOW RISK</v>
      </c>
      <c r="ES12" t="str" cm="1">
        <f t="array" ref="ES12">_xlfn.IFS(ES9&gt;5%,"HIGH RISK",ES9&lt;2%,"LOW RISK",OR(ES9&gt;2%,ES9&lt;5%),"MODERATE RISK")</f>
        <v>MODERATE RISK</v>
      </c>
      <c r="ET12" t="str" cm="1">
        <f t="array" ref="ET12">_xlfn.IFS(ET9&gt;5%,"HIGH RISK",ET9&lt;2%,"LOW RISK",OR(ET9&gt;2%,ET9&lt;5%),"MODERATE RISK")</f>
        <v>LOW RISK</v>
      </c>
      <c r="EU12" t="str" cm="1">
        <f t="array" ref="EU12">_xlfn.IFS(EU9&gt;5%,"HIGH RISK",EU9&lt;2%,"LOW RISK",OR(EU9&gt;2%,EU9&lt;5%),"MODERATE RISK")</f>
        <v>MODERATE RISK</v>
      </c>
      <c r="EV12" t="str" cm="1">
        <f t="array" ref="EV12">_xlfn.IFS(EV9&gt;5%,"HIGH RISK",EV9&lt;2%,"LOW RISK",OR(EV9&gt;2%,EV9&lt;5%),"MODERATE RISK")</f>
        <v>LOW RISK</v>
      </c>
      <c r="EW12" t="str" cm="1">
        <f t="array" ref="EW12">_xlfn.IFS(EW9&gt;5%,"HIGH RISK",EW9&lt;2%,"LOW RISK",OR(EW9&gt;2%,EW9&lt;5%),"MODERATE RISK")</f>
        <v>LOW RISK</v>
      </c>
      <c r="EX12" t="str" cm="1">
        <f t="array" ref="EX12">_xlfn.IFS(EX9&gt;5%,"HIGH RISK",EX9&lt;2%,"LOW RISK",OR(EX9&gt;2%,EX9&lt;5%),"MODERATE RISK")</f>
        <v>HIGH RISK</v>
      </c>
      <c r="EY12" t="str" cm="1">
        <f t="array" ref="EY12">_xlfn.IFS(EY9&gt;5%,"HIGH RISK",EY9&lt;2%,"LOW RISK",OR(EY9&gt;2%,EY9&lt;5%),"MODERATE RISK")</f>
        <v>MODERATE RISK</v>
      </c>
      <c r="EZ12" t="str" cm="1">
        <f t="array" ref="EZ12">_xlfn.IFS(EZ9&gt;5%,"HIGH RISK",EZ9&lt;2%,"LOW RISK",OR(EZ9&gt;2%,EZ9&lt;5%),"MODERATE RISK")</f>
        <v>LOW RISK</v>
      </c>
      <c r="FA12" t="str" cm="1">
        <f t="array" ref="FA12">_xlfn.IFS(FA9&gt;5%,"HIGH RISK",FA9&lt;2%,"LOW RISK",OR(FA9&gt;2%,FA9&lt;5%),"MODERATE RISK")</f>
        <v>MODERATE RISK</v>
      </c>
      <c r="FB12" t="str" cm="1">
        <f t="array" ref="FB12">_xlfn.IFS(FB9&gt;5%,"HIGH RISK",FB9&lt;2%,"LOW RISK",OR(FB9&gt;2%,FB9&lt;5%),"MODERATE RISK")</f>
        <v>LOW RISK</v>
      </c>
      <c r="FC12" t="str" cm="1">
        <f t="array" ref="FC12">_xlfn.IFS(FC9&gt;5%,"HIGH RISK",FC9&lt;2%,"LOW RISK",OR(FC9&gt;2%,FC9&lt;5%),"MODERATE RISK")</f>
        <v>HIGH RISK</v>
      </c>
      <c r="FD12" t="str" cm="1">
        <f t="array" ref="FD12">_xlfn.IFS(FD9&gt;5%,"HIGH RISK",FD9&lt;2%,"LOW RISK",OR(FD9&gt;2%,FD9&lt;5%),"MODERATE RISK")</f>
        <v>LOW RISK</v>
      </c>
      <c r="FE12" t="str" cm="1">
        <f t="array" ref="FE12">_xlfn.IFS(FE9&gt;5%,"HIGH RISK",FE9&lt;2%,"LOW RISK",OR(FE9&gt;2%,FE9&lt;5%),"MODERATE RISK")</f>
        <v>HIGH RISK</v>
      </c>
      <c r="FF12" t="str" cm="1">
        <f t="array" ref="FF12">_xlfn.IFS(FF9&gt;5%,"HIGH RISK",FF9&lt;2%,"LOW RISK",OR(FF9&gt;2%,FF9&lt;5%),"MODERATE RISK")</f>
        <v>LOW RISK</v>
      </c>
      <c r="FG12" t="str" cm="1">
        <f t="array" ref="FG12">_xlfn.IFS(FG9&gt;5%,"HIGH RISK",FG9&lt;2%,"LOW RISK",OR(FG9&gt;2%,FG9&lt;5%),"MODERATE RISK")</f>
        <v>HIGH RISK</v>
      </c>
      <c r="FH12" t="str" cm="1">
        <f t="array" ref="FH12">_xlfn.IFS(FH9&gt;5%,"HIGH RISK",FH9&lt;2%,"LOW RISK",OR(FH9&gt;2%,FH9&lt;5%),"MODERATE RISK")</f>
        <v>HIGH RISK</v>
      </c>
      <c r="FI12" t="str" cm="1">
        <f t="array" ref="FI12">_xlfn.IFS(FI9&gt;5%,"HIGH RISK",FI9&lt;2%,"LOW RISK",OR(FI9&gt;2%,FI9&lt;5%),"MODERATE RISK")</f>
        <v>HIGH RISK</v>
      </c>
      <c r="FJ12" t="str" cm="1">
        <f t="array" ref="FJ12">_xlfn.IFS(FJ9&gt;5%,"HIGH RISK",FJ9&lt;2%,"LOW RISK",OR(FJ9&gt;2%,FJ9&lt;5%),"MODERATE RISK")</f>
        <v>LOW RISK</v>
      </c>
      <c r="FK12" t="str" cm="1">
        <f t="array" ref="FK12">_xlfn.IFS(FK9&gt;5%,"HIGH RISK",FK9&lt;2%,"LOW RISK",OR(FK9&gt;2%,FK9&lt;5%),"MODERATE RISK")</f>
        <v>LOW RISK</v>
      </c>
      <c r="FL12" t="str" cm="1">
        <f t="array" ref="FL12">_xlfn.IFS(FL9&gt;5%,"HIGH RISK",FL9&lt;2%,"LOW RISK",OR(FL9&gt;2%,FL9&lt;5%),"MODERATE RISK")</f>
        <v>MODERATE RISK</v>
      </c>
      <c r="FM12" t="str" cm="1">
        <f t="array" ref="FM12">_xlfn.IFS(FM9&gt;5%,"HIGH RISK",FM9&lt;2%,"LOW RISK",OR(FM9&gt;2%,FM9&lt;5%),"MODERATE RISK")</f>
        <v>LOW RISK</v>
      </c>
      <c r="FN12" t="str" cm="1">
        <f t="array" ref="FN12">_xlfn.IFS(FN9&gt;5%,"HIGH RISK",FN9&lt;2%,"LOW RISK",OR(FN9&gt;2%,FN9&lt;5%),"MODERATE RISK")</f>
        <v>LOW RISK</v>
      </c>
      <c r="FO12" t="str" cm="1">
        <f t="array" ref="FO12">_xlfn.IFS(FO9&gt;5%,"HIGH RISK",FO9&lt;2%,"LOW RISK",OR(FO9&gt;2%,FO9&lt;5%),"MODERATE RISK")</f>
        <v>MODERATE RISK</v>
      </c>
      <c r="FP12" t="str" cm="1">
        <f t="array" ref="FP12">_xlfn.IFS(FP9&gt;5%,"HIGH RISK",FP9&lt;2%,"LOW RISK",OR(FP9&gt;2%,FP9&lt;5%),"MODERATE RISK")</f>
        <v>HIGH RISK</v>
      </c>
      <c r="FQ12" t="str" cm="1">
        <f t="array" ref="FQ12">_xlfn.IFS(FQ9&gt;5%,"HIGH RISK",FQ9&lt;2%,"LOW RISK",OR(FQ9&gt;2%,FQ9&lt;5%),"MODERATE RISK")</f>
        <v>MODERATE RISK</v>
      </c>
      <c r="FR12" t="str" cm="1">
        <f t="array" ref="FR12">_xlfn.IFS(FR9&gt;5%,"HIGH RISK",FR9&lt;2%,"LOW RISK",OR(FR9&gt;2%,FR9&lt;5%),"MODERATE RISK")</f>
        <v>MODERATE RISK</v>
      </c>
      <c r="FS12" t="str" cm="1">
        <f t="array" ref="FS12">_xlfn.IFS(FS9&gt;5%,"HIGH RISK",FS9&lt;2%,"LOW RISK",OR(FS9&gt;2%,FS9&lt;5%),"MODERATE RISK")</f>
        <v>MODERATE RISK</v>
      </c>
      <c r="FT12" t="str" cm="1">
        <f t="array" ref="FT12">_xlfn.IFS(FT9&gt;5%,"HIGH RISK",FT9&lt;2%,"LOW RISK",OR(FT9&gt;2%,FT9&lt;5%),"MODERATE RISK")</f>
        <v>LOW RISK</v>
      </c>
      <c r="FU12" t="str" cm="1">
        <f t="array" ref="FU12">_xlfn.IFS(FU9&gt;5%,"HIGH RISK",FU9&lt;2%,"LOW RISK",OR(FU9&gt;2%,FU9&lt;5%),"MODERATE RISK")</f>
        <v>MODERATE RISK</v>
      </c>
      <c r="FV12" t="str" cm="1">
        <f t="array" ref="FV12">_xlfn.IFS(FV9&gt;5%,"HIGH RISK",FV9&lt;2%,"LOW RISK",OR(FV9&gt;2%,FV9&lt;5%),"MODERATE RISK")</f>
        <v>LOW RISK</v>
      </c>
      <c r="FW12" t="str" cm="1">
        <f t="array" ref="FW12">_xlfn.IFS(FW9&gt;5%,"HIGH RISK",FW9&lt;2%,"LOW RISK",OR(FW9&gt;2%,FW9&lt;5%),"MODERATE RISK")</f>
        <v>HIGH RISK</v>
      </c>
      <c r="FX12" t="str" cm="1">
        <f t="array" ref="FX12">_xlfn.IFS(FX9&gt;5%,"HIGH RISK",FX9&lt;2%,"LOW RISK",OR(FX9&gt;2%,FX9&lt;5%),"MODERATE RISK")</f>
        <v>MODERATE RISK</v>
      </c>
      <c r="FY12" t="str" cm="1">
        <f t="array" ref="FY12">_xlfn.IFS(FY9&gt;5%,"HIGH RISK",FY9&lt;2%,"LOW RISK",OR(FY9&gt;2%,FY9&lt;5%),"MODERATE RISK")</f>
        <v>LOW RISK</v>
      </c>
      <c r="FZ12" t="str" cm="1">
        <f t="array" ref="FZ12">_xlfn.IFS(FZ9&gt;5%,"HIGH RISK",FZ9&lt;2%,"LOW RISK",OR(FZ9&gt;2%,FZ9&lt;5%),"MODERATE RISK")</f>
        <v>LOW RISK</v>
      </c>
      <c r="GA12" t="str" cm="1">
        <f t="array" ref="GA12">_xlfn.IFS(GA9&gt;5%,"HIGH RISK",GA9&lt;2%,"LOW RISK",OR(GA9&gt;2%,GA9&lt;5%),"MODERATE RISK")</f>
        <v>LOW RISK</v>
      </c>
      <c r="GB12" t="str" cm="1">
        <f t="array" ref="GB12">_xlfn.IFS(GB9&gt;5%,"HIGH RISK",GB9&lt;2%,"LOW RISK",OR(GB9&gt;2%,GB9&lt;5%),"MODERATE RISK")</f>
        <v>LOW RISK</v>
      </c>
      <c r="GC12" t="str" cm="1">
        <f t="array" ref="GC12">_xlfn.IFS(GC9&gt;5%,"HIGH RISK",GC9&lt;2%,"LOW RISK",OR(GC9&gt;2%,GC9&lt;5%),"MODERATE RISK")</f>
        <v>HIGH RISK</v>
      </c>
      <c r="GD12" t="str" cm="1">
        <f t="array" ref="GD12">_xlfn.IFS(GD9&gt;5%,"HIGH RISK",GD9&lt;2%,"LOW RISK",OR(GD9&gt;2%,GD9&lt;5%),"MODERATE RISK")</f>
        <v>HIGH RISK</v>
      </c>
      <c r="GE12" t="str" cm="1">
        <f t="array" ref="GE12">_xlfn.IFS(GE9&gt;5%,"HIGH RISK",GE9&lt;2%,"LOW RISK",OR(GE9&gt;2%,GE9&lt;5%),"MODERATE RISK")</f>
        <v>MODERATE RISK</v>
      </c>
      <c r="GF12" t="str" cm="1">
        <f t="array" ref="GF12">_xlfn.IFS(GF9&gt;5%,"HIGH RISK",GF9&lt;2%,"LOW RISK",OR(GF9&gt;2%,GF9&lt;5%),"MODERATE RISK")</f>
        <v>LOW RISK</v>
      </c>
    </row>
    <row r="13" spans="1:188" x14ac:dyDescent="0.3">
      <c r="A13" s="69" t="s">
        <v>44</v>
      </c>
      <c r="B13" t="str" cm="1">
        <f t="array" ref="B13">_xlfn.IFS(B9&gt;5%,"HIGH RISK",AND(B9&gt;=2%,B9&lt;=5%),"MODERATE RISK",B9&lt;2%,"LOW RISK")</f>
        <v>MODERATE RISK</v>
      </c>
      <c r="C13" t="str" cm="1">
        <f t="array" ref="C13">_xlfn.IFS(C9&gt;5%,"HIGH RISK",AND(C9&gt;=2%,C9&lt;=5%),"MODERATE RISK",C9&lt;2%,"LOW RISK")</f>
        <v>MODERATE RISK</v>
      </c>
      <c r="D13" t="str" cm="1">
        <f t="array" ref="D13">_xlfn.IFS(D9&gt;5%,"HIGH RISK",AND(D9&gt;=2%,D9&lt;=5%),"MODERATE RISK",D9&lt;2%,"LOW RISK")</f>
        <v>MODERATE RISK</v>
      </c>
      <c r="E13" t="str" cm="1">
        <f t="array" ref="E13">_xlfn.IFS(E9&gt;5%,"HIGH RISK",AND(E9&gt;=2%,E9&lt;=5%),"MODERATE RISK",E9&lt;2%,"LOW RISK")</f>
        <v>HIGH RISK</v>
      </c>
      <c r="F13" t="str" cm="1">
        <f t="array" ref="F13">_xlfn.IFS(F9&gt;5%,"HIGH RISK",AND(F9&gt;=2%,F9&lt;=5%),"MODERATE RISK",F9&lt;2%,"LOW RISK")</f>
        <v>MODERATE RISK</v>
      </c>
      <c r="G13" t="str" cm="1">
        <f t="array" ref="G13">_xlfn.IFS(G9&gt;5%,"HIGH RISK",AND(G9&gt;=2%,G9&lt;=5%),"MODERATE RISK",G9&lt;2%,"LOW RISK")</f>
        <v>MODERATE RISK</v>
      </c>
      <c r="H13" t="str" cm="1">
        <f t="array" ref="H13">_xlfn.IFS(H9&gt;5%,"HIGH RISK",AND(H9&gt;=2%,H9&lt;=5%),"MODERATE RISK",H9&lt;2%,"LOW RISK")</f>
        <v>LOW RISK</v>
      </c>
      <c r="I13" t="str" cm="1">
        <f t="array" ref="I13">_xlfn.IFS(I9&gt;5%,"HIGH RISK",AND(I9&gt;=2%,I9&lt;=5%),"MODERATE RISK",I9&lt;2%,"LOW RISK")</f>
        <v>LOW RISK</v>
      </c>
      <c r="J13" t="str" cm="1">
        <f t="array" ref="J13">_xlfn.IFS(J9&gt;5%,"HIGH RISK",AND(J9&gt;=2%,J9&lt;=5%),"MODERATE RISK",J9&lt;2%,"LOW RISK")</f>
        <v>LOW RISK</v>
      </c>
      <c r="K13" t="str" cm="1">
        <f t="array" ref="K13">_xlfn.IFS(K9&gt;5%,"HIGH RISK",AND(K9&gt;=2%,K9&lt;=5%),"MODERATE RISK",K9&lt;2%,"LOW RISK")</f>
        <v>MODERATE RISK</v>
      </c>
      <c r="L13" t="str" cm="1">
        <f t="array" ref="L13">_xlfn.IFS(L9&gt;5%,"HIGH RISK",AND(L9&gt;=2%,L9&lt;=5%),"MODERATE RISK",L9&lt;2%,"LOW RISK")</f>
        <v>LOW RISK</v>
      </c>
      <c r="M13" t="str" cm="1">
        <f t="array" ref="M13">_xlfn.IFS(M9&gt;5%,"HIGH RISK",AND(M9&gt;=2%,M9&lt;=5%),"MODERATE RISK",M9&lt;2%,"LOW RISK")</f>
        <v>MODERATE RISK</v>
      </c>
      <c r="N13" t="str" cm="1">
        <f t="array" ref="N13">_xlfn.IFS(N9&gt;5%,"HIGH RISK",AND(N9&gt;=2%,N9&lt;=5%),"MODERATE RISK",N9&lt;2%,"LOW RISK")</f>
        <v>LOW RISK</v>
      </c>
      <c r="O13" t="str" cm="1">
        <f t="array" ref="O13">_xlfn.IFS(O9&gt;5%,"HIGH RISK",AND(O9&gt;=2%,O9&lt;=5%),"MODERATE RISK",O9&lt;2%,"LOW RISK")</f>
        <v>LOW RISK</v>
      </c>
      <c r="P13" t="str" cm="1">
        <f t="array" ref="P13">_xlfn.IFS(P9&gt;5%,"HIGH RISK",AND(P9&gt;=2%,P9&lt;=5%),"MODERATE RISK",P9&lt;2%,"LOW RISK")</f>
        <v>HIGH RISK</v>
      </c>
      <c r="Q13" t="str" cm="1">
        <f t="array" ref="Q13">_xlfn.IFS(Q9&gt;5%,"HIGH RISK",AND(Q9&gt;=2%,Q9&lt;=5%),"MODERATE RISK",Q9&lt;2%,"LOW RISK")</f>
        <v>LOW RISK</v>
      </c>
      <c r="R13" t="str" cm="1">
        <f t="array" ref="R13">_xlfn.IFS(R9&gt;5%,"HIGH RISK",AND(R9&gt;=2%,R9&lt;=5%),"MODERATE RISK",R9&lt;2%,"LOW RISK")</f>
        <v>HIGH RISK</v>
      </c>
      <c r="S13" t="str" cm="1">
        <f t="array" ref="S13">_xlfn.IFS(S9&gt;5%,"HIGH RISK",AND(S9&gt;=2%,S9&lt;=5%),"MODERATE RISK",S9&lt;2%,"LOW RISK")</f>
        <v>MODERATE RISK</v>
      </c>
      <c r="T13" t="str" cm="1">
        <f t="array" ref="T13">_xlfn.IFS(T9&gt;5%,"HIGH RISK",AND(T9&gt;=2%,T9&lt;=5%),"MODERATE RISK",T9&lt;2%,"LOW RISK")</f>
        <v>LOW RISK</v>
      </c>
      <c r="U13" t="str" cm="1">
        <f t="array" ref="U13">_xlfn.IFS(U9&gt;5%,"HIGH RISK",AND(U9&gt;=2%,U9&lt;=5%),"MODERATE RISK",U9&lt;2%,"LOW RISK")</f>
        <v>LOW RISK</v>
      </c>
      <c r="V13" t="str" cm="1">
        <f t="array" ref="V13">_xlfn.IFS(V9&gt;5%,"HIGH RISK",AND(V9&gt;=2%,V9&lt;=5%),"MODERATE RISK",V9&lt;2%,"LOW RISK")</f>
        <v>MODERATE RISK</v>
      </c>
      <c r="W13" t="str" cm="1">
        <f t="array" ref="W13">_xlfn.IFS(W9&gt;5%,"HIGH RISK",AND(W9&gt;=2%,W9&lt;=5%),"MODERATE RISK",W9&lt;2%,"LOW RISK")</f>
        <v>MODERATE RISK</v>
      </c>
      <c r="X13" t="str" cm="1">
        <f t="array" ref="X13">_xlfn.IFS(X9&gt;5%,"HIGH RISK",AND(X9&gt;=2%,X9&lt;=5%),"MODERATE RISK",X9&lt;2%,"LOW RISK")</f>
        <v>LOW RISK</v>
      </c>
      <c r="Y13" t="str" cm="1">
        <f t="array" ref="Y13">_xlfn.IFS(Y9&gt;5%,"HIGH RISK",AND(Y9&gt;=2%,Y9&lt;=5%),"MODERATE RISK",Y9&lt;2%,"LOW RISK")</f>
        <v>MODERATE RISK</v>
      </c>
      <c r="Z13" t="str" cm="1">
        <f t="array" ref="Z13">_xlfn.IFS(Z9&gt;5%,"HIGH RISK",AND(Z9&gt;=2%,Z9&lt;=5%),"MODERATE RISK",Z9&lt;2%,"LOW RISK")</f>
        <v>MODERATE RISK</v>
      </c>
      <c r="AA13" t="str" cm="1">
        <f t="array" ref="AA13">_xlfn.IFS(AA9&gt;5%,"HIGH RISK",AND(AA9&gt;=2%,AA9&lt;=5%),"MODERATE RISK",AA9&lt;2%,"LOW RISK")</f>
        <v>MODERATE RISK</v>
      </c>
      <c r="AB13" t="str" cm="1">
        <f t="array" ref="AB13">_xlfn.IFS(AB9&gt;5%,"HIGH RISK",AND(AB9&gt;=2%,AB9&lt;=5%),"MODERATE RISK",AB9&lt;2%,"LOW RISK")</f>
        <v>MODERATE RISK</v>
      </c>
      <c r="AC13" t="str" cm="1">
        <f t="array" ref="AC13">_xlfn.IFS(AC9&gt;5%,"HIGH RISK",AND(AC9&gt;=2%,AC9&lt;=5%),"MODERATE RISK",AC9&lt;2%,"LOW RISK")</f>
        <v>LOW RISK</v>
      </c>
      <c r="AD13" t="str" cm="1">
        <f t="array" ref="AD13">_xlfn.IFS(AD9&gt;5%,"HIGH RISK",AND(AD9&gt;=2%,AD9&lt;=5%),"MODERATE RISK",AD9&lt;2%,"LOW RISK")</f>
        <v>LOW RISK</v>
      </c>
      <c r="AE13" t="str" cm="1">
        <f t="array" ref="AE13">_xlfn.IFS(AE9&gt;5%,"HIGH RISK",AND(AE9&gt;=2%,AE9&lt;=5%),"MODERATE RISK",AE9&lt;2%,"LOW RISK")</f>
        <v>LOW RISK</v>
      </c>
      <c r="AF13" t="str" cm="1">
        <f t="array" ref="AF13">_xlfn.IFS(AF9&gt;5%,"HIGH RISK",AND(AF9&gt;=2%,AF9&lt;=5%),"MODERATE RISK",AF9&lt;2%,"LOW RISK")</f>
        <v>LOW RISK</v>
      </c>
      <c r="AG13" t="str" cm="1">
        <f t="array" ref="AG13">_xlfn.IFS(AG9&gt;5%,"HIGH RISK",AND(AG9&gt;=2%,AG9&lt;=5%),"MODERATE RISK",AG9&lt;2%,"LOW RISK")</f>
        <v>MODERATE RISK</v>
      </c>
      <c r="AH13" t="str" cm="1">
        <f t="array" ref="AH13">_xlfn.IFS(AH9&gt;5%,"HIGH RISK",AND(AH9&gt;=2%,AH9&lt;=5%),"MODERATE RISK",AH9&lt;2%,"LOW RISK")</f>
        <v>HIGH RISK</v>
      </c>
      <c r="AI13" t="str" cm="1">
        <f t="array" ref="AI13">_xlfn.IFS(AI9&gt;5%,"HIGH RISK",AND(AI9&gt;=2%,AI9&lt;=5%),"MODERATE RISK",AI9&lt;2%,"LOW RISK")</f>
        <v>LOW RISK</v>
      </c>
      <c r="AJ13" t="str" cm="1">
        <f t="array" ref="AJ13">_xlfn.IFS(AJ9&gt;5%,"HIGH RISK",AND(AJ9&gt;=2%,AJ9&lt;=5%),"MODERATE RISK",AJ9&lt;2%,"LOW RISK")</f>
        <v>HIGH RISK</v>
      </c>
      <c r="AK13" t="str" cm="1">
        <f t="array" ref="AK13">_xlfn.IFS(AK9&gt;5%,"HIGH RISK",AND(AK9&gt;=2%,AK9&lt;=5%),"MODERATE RISK",AK9&lt;2%,"LOW RISK")</f>
        <v>MODERATE RISK</v>
      </c>
      <c r="AL13" t="str" cm="1">
        <f t="array" ref="AL13">_xlfn.IFS(AL9&gt;5%,"HIGH RISK",AND(AL9&gt;=2%,AL9&lt;=5%),"MODERATE RISK",AL9&lt;2%,"LOW RISK")</f>
        <v>HIGH RISK</v>
      </c>
      <c r="AM13" t="str" cm="1">
        <f t="array" ref="AM13">_xlfn.IFS(AM9&gt;5%,"HIGH RISK",AND(AM9&gt;=2%,AM9&lt;=5%),"MODERATE RISK",AM9&lt;2%,"LOW RISK")</f>
        <v>MODERATE RISK</v>
      </c>
      <c r="AN13" t="str" cm="1">
        <f t="array" ref="AN13">_xlfn.IFS(AN9&gt;5%,"HIGH RISK",AND(AN9&gt;=2%,AN9&lt;=5%),"MODERATE RISK",AN9&lt;2%,"LOW RISK")</f>
        <v>LOW RISK</v>
      </c>
      <c r="AO13" t="str" cm="1">
        <f t="array" ref="AO13">_xlfn.IFS(AO9&gt;5%,"HIGH RISK",AND(AO9&gt;=2%,AO9&lt;=5%),"MODERATE RISK",AO9&lt;2%,"LOW RISK")</f>
        <v>LOW RISK</v>
      </c>
      <c r="AP13" t="str" cm="1">
        <f t="array" ref="AP13">_xlfn.IFS(AP9&gt;5%,"HIGH RISK",AND(AP9&gt;=2%,AP9&lt;=5%),"MODERATE RISK",AP9&lt;2%,"LOW RISK")</f>
        <v>MODERATE RISK</v>
      </c>
      <c r="AQ13" t="str" cm="1">
        <f t="array" ref="AQ13">_xlfn.IFS(AQ9&gt;5%,"HIGH RISK",AND(AQ9&gt;=2%,AQ9&lt;=5%),"MODERATE RISK",AQ9&lt;2%,"LOW RISK")</f>
        <v>LOW RISK</v>
      </c>
      <c r="AR13" t="str" cm="1">
        <f t="array" ref="AR13">_xlfn.IFS(AR9&gt;5%,"HIGH RISK",AND(AR9&gt;=2%,AR9&lt;=5%),"MODERATE RISK",AR9&lt;2%,"LOW RISK")</f>
        <v>LOW RISK</v>
      </c>
      <c r="AS13" t="str" cm="1">
        <f t="array" ref="AS13">_xlfn.IFS(AS9&gt;5%,"HIGH RISK",AND(AS9&gt;=2%,AS9&lt;=5%),"MODERATE RISK",AS9&lt;2%,"LOW RISK")</f>
        <v>MODERATE RISK</v>
      </c>
      <c r="AT13" t="str" cm="1">
        <f t="array" ref="AT13">_xlfn.IFS(AT9&gt;5%,"HIGH RISK",AND(AT9&gt;=2%,AT9&lt;=5%),"MODERATE RISK",AT9&lt;2%,"LOW RISK")</f>
        <v>MODERATE RISK</v>
      </c>
      <c r="AU13" t="str" cm="1">
        <f t="array" ref="AU13">_xlfn.IFS(AU9&gt;5%,"HIGH RISK",AND(AU9&gt;=2%,AU9&lt;=5%),"MODERATE RISK",AU9&lt;2%,"LOW RISK")</f>
        <v>LOW RISK</v>
      </c>
      <c r="AV13" t="str" cm="1">
        <f t="array" ref="AV13">_xlfn.IFS(AV9&gt;5%,"HIGH RISK",AND(AV9&gt;=2%,AV9&lt;=5%),"MODERATE RISK",AV9&lt;2%,"LOW RISK")</f>
        <v>MODERATE RISK</v>
      </c>
      <c r="AW13" t="str" cm="1">
        <f t="array" ref="AW13">_xlfn.IFS(AW9&gt;5%,"HIGH RISK",AND(AW9&gt;=2%,AW9&lt;=5%),"MODERATE RISK",AW9&lt;2%,"LOW RISK")</f>
        <v>MODERATE RISK</v>
      </c>
      <c r="AX13" t="str" cm="1">
        <f t="array" ref="AX13">_xlfn.IFS(AX9&gt;5%,"HIGH RISK",AND(AX9&gt;=2%,AX9&lt;=5%),"MODERATE RISK",AX9&lt;2%,"LOW RISK")</f>
        <v>LOW RISK</v>
      </c>
      <c r="AY13" t="str" cm="1">
        <f t="array" ref="AY13">_xlfn.IFS(AY9&gt;5%,"HIGH RISK",AND(AY9&gt;=2%,AY9&lt;=5%),"MODERATE RISK",AY9&lt;2%,"LOW RISK")</f>
        <v>LOW RISK</v>
      </c>
      <c r="AZ13" t="str" cm="1">
        <f t="array" ref="AZ13">_xlfn.IFS(AZ9&gt;5%,"HIGH RISK",AND(AZ9&gt;=2%,AZ9&lt;=5%),"MODERATE RISK",AZ9&lt;2%,"LOW RISK")</f>
        <v>LOW RISK</v>
      </c>
      <c r="BA13" t="str" cm="1">
        <f t="array" ref="BA13">_xlfn.IFS(BA9&gt;5%,"HIGH RISK",AND(BA9&gt;=2%,BA9&lt;=5%),"MODERATE RISK",BA9&lt;2%,"LOW RISK")</f>
        <v>HIGH RISK</v>
      </c>
      <c r="BB13" t="str" cm="1">
        <f t="array" ref="BB13">_xlfn.IFS(BB9&gt;5%,"HIGH RISK",AND(BB9&gt;=2%,BB9&lt;=5%),"MODERATE RISK",BB9&lt;2%,"LOW RISK")</f>
        <v>HIGH RISK</v>
      </c>
      <c r="BC13" t="str" cm="1">
        <f t="array" ref="BC13">_xlfn.IFS(BC9&gt;5%,"HIGH RISK",AND(BC9&gt;=2%,BC9&lt;=5%),"MODERATE RISK",BC9&lt;2%,"LOW RISK")</f>
        <v>MODERATE RISK</v>
      </c>
      <c r="BD13" t="str" cm="1">
        <f t="array" ref="BD13">_xlfn.IFS(BD9&gt;5%,"HIGH RISK",AND(BD9&gt;=2%,BD9&lt;=5%),"MODERATE RISK",BD9&lt;2%,"LOW RISK")</f>
        <v>LOW RISK</v>
      </c>
      <c r="BE13" t="str" cm="1">
        <f t="array" ref="BE13">_xlfn.IFS(BE9&gt;5%,"HIGH RISK",AND(BE9&gt;=2%,BE9&lt;=5%),"MODERATE RISK",BE9&lt;2%,"LOW RISK")</f>
        <v>LOW RISK</v>
      </c>
      <c r="BF13" t="str" cm="1">
        <f t="array" ref="BF13">_xlfn.IFS(BF9&gt;5%,"HIGH RISK",AND(BF9&gt;=2%,BF9&lt;=5%),"MODERATE RISK",BF9&lt;2%,"LOW RISK")</f>
        <v>MODERATE RISK</v>
      </c>
      <c r="BG13" t="str" cm="1">
        <f t="array" ref="BG13">_xlfn.IFS(BG9&gt;5%,"HIGH RISK",AND(BG9&gt;=2%,BG9&lt;=5%),"MODERATE RISK",BG9&lt;2%,"LOW RISK")</f>
        <v>LOW RISK</v>
      </c>
      <c r="BH13" t="str" cm="1">
        <f t="array" ref="BH13">_xlfn.IFS(BH9&gt;5%,"HIGH RISK",AND(BH9&gt;=2%,BH9&lt;=5%),"MODERATE RISK",BH9&lt;2%,"LOW RISK")</f>
        <v>LOW RISK</v>
      </c>
      <c r="BI13" t="str" cm="1">
        <f t="array" ref="BI13">_xlfn.IFS(BI9&gt;5%,"HIGH RISK",AND(BI9&gt;=2%,BI9&lt;=5%),"MODERATE RISK",BI9&lt;2%,"LOW RISK")</f>
        <v>LOW RISK</v>
      </c>
      <c r="BJ13" t="str" cm="1">
        <f t="array" ref="BJ13">_xlfn.IFS(BJ9&gt;5%,"HIGH RISK",AND(BJ9&gt;=2%,BJ9&lt;=5%),"MODERATE RISK",BJ9&lt;2%,"LOW RISK")</f>
        <v>MODERATE RISK</v>
      </c>
      <c r="BK13" t="str" cm="1">
        <f t="array" ref="BK13">_xlfn.IFS(BK9&gt;5%,"HIGH RISK",AND(BK9&gt;=2%,BK9&lt;=5%),"MODERATE RISK",BK9&lt;2%,"LOW RISK")</f>
        <v>HIGH RISK</v>
      </c>
      <c r="BL13" t="str" cm="1">
        <f t="array" ref="BL13">_xlfn.IFS(BL9&gt;5%,"HIGH RISK",AND(BL9&gt;=2%,BL9&lt;=5%),"MODERATE RISK",BL9&lt;2%,"LOW RISK")</f>
        <v>LOW RISK</v>
      </c>
      <c r="BM13" t="str" cm="1">
        <f t="array" ref="BM13">_xlfn.IFS(BM9&gt;5%,"HIGH RISK",AND(BM9&gt;=2%,BM9&lt;=5%),"MODERATE RISK",BM9&lt;2%,"LOW RISK")</f>
        <v>MODERATE RISK</v>
      </c>
      <c r="BN13" t="str" cm="1">
        <f t="array" ref="BN13">_xlfn.IFS(BN9&gt;5%,"HIGH RISK",AND(BN9&gt;=2%,BN9&lt;=5%),"MODERATE RISK",BN9&lt;2%,"LOW RISK")</f>
        <v>LOW RISK</v>
      </c>
      <c r="BO13" t="str" cm="1">
        <f t="array" ref="BO13">_xlfn.IFS(BO9&gt;5%,"HIGH RISK",AND(BO9&gt;=2%,BO9&lt;=5%),"MODERATE RISK",BO9&lt;2%,"LOW RISK")</f>
        <v>MODERATE RISK</v>
      </c>
      <c r="BP13" t="str" cm="1">
        <f t="array" ref="BP13">_xlfn.IFS(BP9&gt;5%,"HIGH RISK",AND(BP9&gt;=2%,BP9&lt;=5%),"MODERATE RISK",BP9&lt;2%,"LOW RISK")</f>
        <v>LOW RISK</v>
      </c>
      <c r="BQ13" t="str" cm="1">
        <f t="array" ref="BQ13">_xlfn.IFS(BQ9&gt;5%,"HIGH RISK",AND(BQ9&gt;=2%,BQ9&lt;=5%),"MODERATE RISK",BQ9&lt;2%,"LOW RISK")</f>
        <v>MODERATE RISK</v>
      </c>
      <c r="BR13" t="str" cm="1">
        <f t="array" ref="BR13">_xlfn.IFS(BR9&gt;5%,"HIGH RISK",AND(BR9&gt;=2%,BR9&lt;=5%),"MODERATE RISK",BR9&lt;2%,"LOW RISK")</f>
        <v>LOW RISK</v>
      </c>
      <c r="BS13" t="str" cm="1">
        <f t="array" ref="BS13">_xlfn.IFS(BS9&gt;5%,"HIGH RISK",AND(BS9&gt;=2%,BS9&lt;=5%),"MODERATE RISK",BS9&lt;2%,"LOW RISK")</f>
        <v>LOW RISK</v>
      </c>
      <c r="BT13" t="str" cm="1">
        <f t="array" ref="BT13">_xlfn.IFS(BT9&gt;5%,"HIGH RISK",AND(BT9&gt;=2%,BT9&lt;=5%),"MODERATE RISK",BT9&lt;2%,"LOW RISK")</f>
        <v>MODERATE RISK</v>
      </c>
      <c r="BU13" t="str" cm="1">
        <f t="array" ref="BU13">_xlfn.IFS(BU9&gt;5%,"HIGH RISK",AND(BU9&gt;=2%,BU9&lt;=5%),"MODERATE RISK",BU9&lt;2%,"LOW RISK")</f>
        <v>LOW RISK</v>
      </c>
      <c r="BV13" t="str" cm="1">
        <f t="array" ref="BV13">_xlfn.IFS(BV9&gt;5%,"HIGH RISK",AND(BV9&gt;=2%,BV9&lt;=5%),"MODERATE RISK",BV9&lt;2%,"LOW RISK")</f>
        <v>LOW RISK</v>
      </c>
      <c r="BW13" t="str" cm="1">
        <f t="array" ref="BW13">_xlfn.IFS(BW9&gt;5%,"HIGH RISK",AND(BW9&gt;=2%,BW9&lt;=5%),"MODERATE RISK",BW9&lt;2%,"LOW RISK")</f>
        <v>HIGH RISK</v>
      </c>
      <c r="BX13" t="str" cm="1">
        <f t="array" ref="BX13">_xlfn.IFS(BX9&gt;5%,"HIGH RISK",AND(BX9&gt;=2%,BX9&lt;=5%),"MODERATE RISK",BX9&lt;2%,"LOW RISK")</f>
        <v>MODERATE RISK</v>
      </c>
      <c r="BY13" t="str" cm="1">
        <f t="array" ref="BY13">_xlfn.IFS(BY9&gt;5%,"HIGH RISK",AND(BY9&gt;=2%,BY9&lt;=5%),"MODERATE RISK",BY9&lt;2%,"LOW RISK")</f>
        <v>LOW RISK</v>
      </c>
      <c r="BZ13" t="str" cm="1">
        <f t="array" ref="BZ13">_xlfn.IFS(BZ9&gt;5%,"HIGH RISK",AND(BZ9&gt;=2%,BZ9&lt;=5%),"MODERATE RISK",BZ9&lt;2%,"LOW RISK")</f>
        <v>MODERATE RISK</v>
      </c>
      <c r="CA13" t="str" cm="1">
        <f t="array" ref="CA13">_xlfn.IFS(CA9&gt;5%,"HIGH RISK",AND(CA9&gt;=2%,CA9&lt;=5%),"MODERATE RISK",CA9&lt;2%,"LOW RISK")</f>
        <v>HIGH RISK</v>
      </c>
      <c r="CB13" t="str" cm="1">
        <f t="array" ref="CB13">_xlfn.IFS(CB9&gt;5%,"HIGH RISK",AND(CB9&gt;=2%,CB9&lt;=5%),"MODERATE RISK",CB9&lt;2%,"LOW RISK")</f>
        <v>LOW RISK</v>
      </c>
      <c r="CC13" t="str" cm="1">
        <f t="array" ref="CC13">_xlfn.IFS(CC9&gt;5%,"HIGH RISK",AND(CC9&gt;=2%,CC9&lt;=5%),"MODERATE RISK",CC9&lt;2%,"LOW RISK")</f>
        <v>MODERATE RISK</v>
      </c>
      <c r="CD13" t="str" cm="1">
        <f t="array" ref="CD13">_xlfn.IFS(CD9&gt;5%,"HIGH RISK",AND(CD9&gt;=2%,CD9&lt;=5%),"MODERATE RISK",CD9&lt;2%,"LOW RISK")</f>
        <v>MODERATE RISK</v>
      </c>
      <c r="CE13" t="str" cm="1">
        <f t="array" ref="CE13">_xlfn.IFS(CE9&gt;5%,"HIGH RISK",AND(CE9&gt;=2%,CE9&lt;=5%),"MODERATE RISK",CE9&lt;2%,"LOW RISK")</f>
        <v>HIGH RISK</v>
      </c>
      <c r="CF13" t="str" cm="1">
        <f t="array" ref="CF13">_xlfn.IFS(CF9&gt;5%,"HIGH RISK",AND(CF9&gt;=2%,CF9&lt;=5%),"MODERATE RISK",CF9&lt;2%,"LOW RISK")</f>
        <v>MODERATE RISK</v>
      </c>
      <c r="CG13" t="str" cm="1">
        <f t="array" ref="CG13">_xlfn.IFS(CG9&gt;5%,"HIGH RISK",AND(CG9&gt;=2%,CG9&lt;=5%),"MODERATE RISK",CG9&lt;2%,"LOW RISK")</f>
        <v>HIGH RISK</v>
      </c>
      <c r="CH13" t="str" cm="1">
        <f t="array" ref="CH13">_xlfn.IFS(CH9&gt;5%,"HIGH RISK",AND(CH9&gt;=2%,CH9&lt;=5%),"MODERATE RISK",CH9&lt;2%,"LOW RISK")</f>
        <v>LOW RISK</v>
      </c>
      <c r="CI13" t="str" cm="1">
        <f t="array" ref="CI13">_xlfn.IFS(CI9&gt;5%,"HIGH RISK",AND(CI9&gt;=2%,CI9&lt;=5%),"MODERATE RISK",CI9&lt;2%,"LOW RISK")</f>
        <v>HIGH RISK</v>
      </c>
      <c r="CJ13" t="str" cm="1">
        <f t="array" ref="CJ13">_xlfn.IFS(CJ9&gt;5%,"HIGH RISK",AND(CJ9&gt;=2%,CJ9&lt;=5%),"MODERATE RISK",CJ9&lt;2%,"LOW RISK")</f>
        <v>LOW RISK</v>
      </c>
      <c r="CK13" t="str" cm="1">
        <f t="array" ref="CK13">_xlfn.IFS(CK9&gt;5%,"HIGH RISK",AND(CK9&gt;=2%,CK9&lt;=5%),"MODERATE RISK",CK9&lt;2%,"LOW RISK")</f>
        <v>MODERATE RISK</v>
      </c>
      <c r="CL13" t="str" cm="1">
        <f t="array" ref="CL13">_xlfn.IFS(CL9&gt;5%,"HIGH RISK",AND(CL9&gt;=2%,CL9&lt;=5%),"MODERATE RISK",CL9&lt;2%,"LOW RISK")</f>
        <v>LOW RISK</v>
      </c>
      <c r="CM13" t="str" cm="1">
        <f t="array" ref="CM13">_xlfn.IFS(CM9&gt;5%,"HIGH RISK",AND(CM9&gt;=2%,CM9&lt;=5%),"MODERATE RISK",CM9&lt;2%,"LOW RISK")</f>
        <v>LOW RISK</v>
      </c>
      <c r="CN13" t="str" cm="1">
        <f t="array" ref="CN13">_xlfn.IFS(CN9&gt;5%,"HIGH RISK",AND(CN9&gt;=2%,CN9&lt;=5%),"MODERATE RISK",CN9&lt;2%,"LOW RISK")</f>
        <v>LOW RISK</v>
      </c>
      <c r="CO13" t="str" cm="1">
        <f t="array" ref="CO13">_xlfn.IFS(CO9&gt;5%,"HIGH RISK",AND(CO9&gt;=2%,CO9&lt;=5%),"MODERATE RISK",CO9&lt;2%,"LOW RISK")</f>
        <v>MODERATE RISK</v>
      </c>
      <c r="CP13" t="str" cm="1">
        <f t="array" ref="CP13">_xlfn.IFS(CP9&gt;5%,"HIGH RISK",AND(CP9&gt;=2%,CP9&lt;=5%),"MODERATE RISK",CP9&lt;2%,"LOW RISK")</f>
        <v>LOW RISK</v>
      </c>
      <c r="CQ13" t="str" cm="1">
        <f t="array" ref="CQ13">_xlfn.IFS(CQ9&gt;5%,"HIGH RISK",AND(CQ9&gt;=2%,CQ9&lt;=5%),"MODERATE RISK",CQ9&lt;2%,"LOW RISK")</f>
        <v>MODERATE RISK</v>
      </c>
      <c r="CR13" t="str" cm="1">
        <f t="array" ref="CR13">_xlfn.IFS(CR9&gt;5%,"HIGH RISK",AND(CR9&gt;=2%,CR9&lt;=5%),"MODERATE RISK",CR9&lt;2%,"LOW RISK")</f>
        <v>LOW RISK</v>
      </c>
      <c r="CS13" t="str" cm="1">
        <f t="array" ref="CS13">_xlfn.IFS(CS9&gt;5%,"HIGH RISK",AND(CS9&gt;=2%,CS9&lt;=5%),"MODERATE RISK",CS9&lt;2%,"LOW RISK")</f>
        <v>MODERATE RISK</v>
      </c>
      <c r="CT13" t="str" cm="1">
        <f t="array" ref="CT13">_xlfn.IFS(CT9&gt;5%,"HIGH RISK",AND(CT9&gt;=2%,CT9&lt;=5%),"MODERATE RISK",CT9&lt;2%,"LOW RISK")</f>
        <v>LOW RISK</v>
      </c>
      <c r="CU13" t="str" cm="1">
        <f t="array" ref="CU13">_xlfn.IFS(CU9&gt;5%,"HIGH RISK",AND(CU9&gt;=2%,CU9&lt;=5%),"MODERATE RISK",CU9&lt;2%,"LOW RISK")</f>
        <v>MODERATE RISK</v>
      </c>
      <c r="CV13" t="str" cm="1">
        <f t="array" ref="CV13">_xlfn.IFS(CV9&gt;5%,"HIGH RISK",AND(CV9&gt;=2%,CV9&lt;=5%),"MODERATE RISK",CV9&lt;2%,"LOW RISK")</f>
        <v>HIGH RISK</v>
      </c>
      <c r="CW13" t="str" cm="1">
        <f t="array" ref="CW13">_xlfn.IFS(CW9&gt;5%,"HIGH RISK",AND(CW9&gt;=2%,CW9&lt;=5%),"MODERATE RISK",CW9&lt;2%,"LOW RISK")</f>
        <v>MODERATE RISK</v>
      </c>
      <c r="CX13" t="str" cm="1">
        <f t="array" ref="CX13">_xlfn.IFS(CX9&gt;5%,"HIGH RISK",AND(CX9&gt;=2%,CX9&lt;=5%),"MODERATE RISK",CX9&lt;2%,"LOW RISK")</f>
        <v>LOW RISK</v>
      </c>
      <c r="CY13" t="str" cm="1">
        <f t="array" ref="CY13">_xlfn.IFS(CY9&gt;5%,"HIGH RISK",AND(CY9&gt;=2%,CY9&lt;=5%),"MODERATE RISK",CY9&lt;2%,"LOW RISK")</f>
        <v>MODERATE RISK</v>
      </c>
      <c r="CZ13" t="str" cm="1">
        <f t="array" ref="CZ13">_xlfn.IFS(CZ9&gt;5%,"HIGH RISK",AND(CZ9&gt;=2%,CZ9&lt;=5%),"MODERATE RISK",CZ9&lt;2%,"LOW RISK")</f>
        <v>LOW RISK</v>
      </c>
      <c r="DA13" t="str" cm="1">
        <f t="array" ref="DA13">_xlfn.IFS(DA9&gt;5%,"HIGH RISK",AND(DA9&gt;=2%,DA9&lt;=5%),"MODERATE RISK",DA9&lt;2%,"LOW RISK")</f>
        <v>LOW RISK</v>
      </c>
      <c r="DB13" t="str" cm="1">
        <f t="array" ref="DB13">_xlfn.IFS(DB9&gt;5%,"HIGH RISK",AND(DB9&gt;=2%,DB9&lt;=5%),"MODERATE RISK",DB9&lt;2%,"LOW RISK")</f>
        <v>MODERATE RISK</v>
      </c>
      <c r="DC13" t="str" cm="1">
        <f t="array" ref="DC13">_xlfn.IFS(DC9&gt;5%,"HIGH RISK",AND(DC9&gt;=2%,DC9&lt;=5%),"MODERATE RISK",DC9&lt;2%,"LOW RISK")</f>
        <v>LOW RISK</v>
      </c>
      <c r="DD13" t="str" cm="1">
        <f t="array" ref="DD13">_xlfn.IFS(DD9&gt;5%,"HIGH RISK",AND(DD9&gt;=2%,DD9&lt;=5%),"MODERATE RISK",DD9&lt;2%,"LOW RISK")</f>
        <v>LOW RISK</v>
      </c>
      <c r="DE13" t="str" cm="1">
        <f t="array" ref="DE13">_xlfn.IFS(DE9&gt;5%,"HIGH RISK",AND(DE9&gt;=2%,DE9&lt;=5%),"MODERATE RISK",DE9&lt;2%,"LOW RISK")</f>
        <v>MODERATE RISK</v>
      </c>
      <c r="DF13" t="str" cm="1">
        <f t="array" ref="DF13">_xlfn.IFS(DF9&gt;5%,"HIGH RISK",AND(DF9&gt;=2%,DF9&lt;=5%),"MODERATE RISK",DF9&lt;2%,"LOW RISK")</f>
        <v>LOW RISK</v>
      </c>
      <c r="DG13" t="str" cm="1">
        <f t="array" ref="DG13">_xlfn.IFS(DG9&gt;5%,"HIGH RISK",AND(DG9&gt;=2%,DG9&lt;=5%),"MODERATE RISK",DG9&lt;2%,"LOW RISK")</f>
        <v>MODERATE RISK</v>
      </c>
      <c r="DH13" t="str" cm="1">
        <f t="array" ref="DH13">_xlfn.IFS(DH9&gt;5%,"HIGH RISK",AND(DH9&gt;=2%,DH9&lt;=5%),"MODERATE RISK",DH9&lt;2%,"LOW RISK")</f>
        <v>MODERATE RISK</v>
      </c>
      <c r="DI13" t="str" cm="1">
        <f t="array" ref="DI13">_xlfn.IFS(DI9&gt;5%,"HIGH RISK",AND(DI9&gt;=2%,DI9&lt;=5%),"MODERATE RISK",DI9&lt;2%,"LOW RISK")</f>
        <v>HIGH RISK</v>
      </c>
      <c r="DJ13" t="str" cm="1">
        <f t="array" ref="DJ13">_xlfn.IFS(DJ9&gt;5%,"HIGH RISK",AND(DJ9&gt;=2%,DJ9&lt;=5%),"MODERATE RISK",DJ9&lt;2%,"LOW RISK")</f>
        <v>MODERATE RISK</v>
      </c>
      <c r="DK13" t="str" cm="1">
        <f t="array" ref="DK13">_xlfn.IFS(DK9&gt;5%,"HIGH RISK",AND(DK9&gt;=2%,DK9&lt;=5%),"MODERATE RISK",DK9&lt;2%,"LOW RISK")</f>
        <v>MODERATE RISK</v>
      </c>
      <c r="DL13" t="str" cm="1">
        <f t="array" ref="DL13">_xlfn.IFS(DL9&gt;5%,"HIGH RISK",AND(DL9&gt;=2%,DL9&lt;=5%),"MODERATE RISK",DL9&lt;2%,"LOW RISK")</f>
        <v>LOW RISK</v>
      </c>
      <c r="DM13" t="str" cm="1">
        <f t="array" ref="DM13">_xlfn.IFS(DM9&gt;5%,"HIGH RISK",AND(DM9&gt;=2%,DM9&lt;=5%),"MODERATE RISK",DM9&lt;2%,"LOW RISK")</f>
        <v>LOW RISK</v>
      </c>
      <c r="DN13" t="str" cm="1">
        <f t="array" ref="DN13">_xlfn.IFS(DN9&gt;5%,"HIGH RISK",AND(DN9&gt;=2%,DN9&lt;=5%),"MODERATE RISK",DN9&lt;2%,"LOW RISK")</f>
        <v>LOW RISK</v>
      </c>
      <c r="DO13" t="str" cm="1">
        <f t="array" ref="DO13">_xlfn.IFS(DO9&gt;5%,"HIGH RISK",AND(DO9&gt;=2%,DO9&lt;=5%),"MODERATE RISK",DO9&lt;2%,"LOW RISK")</f>
        <v>LOW RISK</v>
      </c>
      <c r="DP13" t="str" cm="1">
        <f t="array" ref="DP13">_xlfn.IFS(DP9&gt;5%,"HIGH RISK",AND(DP9&gt;=2%,DP9&lt;=5%),"MODERATE RISK",DP9&lt;2%,"LOW RISK")</f>
        <v>LOW RISK</v>
      </c>
      <c r="DQ13" t="str" cm="1">
        <f t="array" ref="DQ13">_xlfn.IFS(DQ9&gt;5%,"HIGH RISK",AND(DQ9&gt;=2%,DQ9&lt;=5%),"MODERATE RISK",DQ9&lt;2%,"LOW RISK")</f>
        <v>LOW RISK</v>
      </c>
      <c r="DR13" t="str" cm="1">
        <f t="array" ref="DR13">_xlfn.IFS(DR9&gt;5%,"HIGH RISK",AND(DR9&gt;=2%,DR9&lt;=5%),"MODERATE RISK",DR9&lt;2%,"LOW RISK")</f>
        <v>HIGH RISK</v>
      </c>
      <c r="DS13" t="str" cm="1">
        <f t="array" ref="DS13">_xlfn.IFS(DS9&gt;5%,"HIGH RISK",AND(DS9&gt;=2%,DS9&lt;=5%),"MODERATE RISK",DS9&lt;2%,"LOW RISK")</f>
        <v>LOW RISK</v>
      </c>
      <c r="DT13" t="str" cm="1">
        <f t="array" ref="DT13">_xlfn.IFS(DT9&gt;5%,"HIGH RISK",AND(DT9&gt;=2%,DT9&lt;=5%),"MODERATE RISK",DT9&lt;2%,"LOW RISK")</f>
        <v>MODERATE RISK</v>
      </c>
      <c r="DU13" t="str" cm="1">
        <f t="array" ref="DU13">_xlfn.IFS(DU9&gt;5%,"HIGH RISK",AND(DU9&gt;=2%,DU9&lt;=5%),"MODERATE RISK",DU9&lt;2%,"LOW RISK")</f>
        <v>HIGH RISK</v>
      </c>
      <c r="DV13" t="str" cm="1">
        <f t="array" ref="DV13">_xlfn.IFS(DV9&gt;5%,"HIGH RISK",AND(DV9&gt;=2%,DV9&lt;=5%),"MODERATE RISK",DV9&lt;2%,"LOW RISK")</f>
        <v>MODERATE RISK</v>
      </c>
      <c r="DW13" t="str" cm="1">
        <f t="array" ref="DW13">_xlfn.IFS(DW9&gt;5%,"HIGH RISK",AND(DW9&gt;=2%,DW9&lt;=5%),"MODERATE RISK",DW9&lt;2%,"LOW RISK")</f>
        <v>MODERATE RISK</v>
      </c>
      <c r="DX13" t="str" cm="1">
        <f t="array" ref="DX13">_xlfn.IFS(DX9&gt;5%,"HIGH RISK",AND(DX9&gt;=2%,DX9&lt;=5%),"MODERATE RISK",DX9&lt;2%,"LOW RISK")</f>
        <v>MODERATE RISK</v>
      </c>
      <c r="DY13" t="str" cm="1">
        <f t="array" ref="DY13">_xlfn.IFS(DY9&gt;5%,"HIGH RISK",AND(DY9&gt;=2%,DY9&lt;=5%),"MODERATE RISK",DY9&lt;2%,"LOW RISK")</f>
        <v>LOW RISK</v>
      </c>
      <c r="DZ13" t="str" cm="1">
        <f t="array" ref="DZ13">_xlfn.IFS(DZ9&gt;5%,"HIGH RISK",AND(DZ9&gt;=2%,DZ9&lt;=5%),"MODERATE RISK",DZ9&lt;2%,"LOW RISK")</f>
        <v>MODERATE RISK</v>
      </c>
      <c r="EA13" t="str" cm="1">
        <f t="array" ref="EA13">_xlfn.IFS(EA9&gt;5%,"HIGH RISK",AND(EA9&gt;=2%,EA9&lt;=5%),"MODERATE RISK",EA9&lt;2%,"LOW RISK")</f>
        <v>MODERATE RISK</v>
      </c>
      <c r="EB13" t="str" cm="1">
        <f t="array" ref="EB13">_xlfn.IFS(EB9&gt;5%,"HIGH RISK",AND(EB9&gt;=2%,EB9&lt;=5%),"MODERATE RISK",EB9&lt;2%,"LOW RISK")</f>
        <v>LOW RISK</v>
      </c>
      <c r="EC13" t="str" cm="1">
        <f t="array" ref="EC13">_xlfn.IFS(EC9&gt;5%,"HIGH RISK",AND(EC9&gt;=2%,EC9&lt;=5%),"MODERATE RISK",EC9&lt;2%,"LOW RISK")</f>
        <v>LOW RISK</v>
      </c>
      <c r="ED13" t="str" cm="1">
        <f t="array" ref="ED13">_xlfn.IFS(ED9&gt;5%,"HIGH RISK",AND(ED9&gt;=2%,ED9&lt;=5%),"MODERATE RISK",ED9&lt;2%,"LOW RISK")</f>
        <v>MODERATE RISK</v>
      </c>
      <c r="EE13" t="str" cm="1">
        <f t="array" ref="EE13">_xlfn.IFS(EE9&gt;5%,"HIGH RISK",AND(EE9&gt;=2%,EE9&lt;=5%),"MODERATE RISK",EE9&lt;2%,"LOW RISK")</f>
        <v>MODERATE RISK</v>
      </c>
      <c r="EF13" t="str" cm="1">
        <f t="array" ref="EF13">_xlfn.IFS(EF9&gt;5%,"HIGH RISK",AND(EF9&gt;=2%,EF9&lt;=5%),"MODERATE RISK",EF9&lt;2%,"LOW RISK")</f>
        <v>MODERATE RISK</v>
      </c>
      <c r="EG13" t="str" cm="1">
        <f t="array" ref="EG13">_xlfn.IFS(EG9&gt;5%,"HIGH RISK",AND(EG9&gt;=2%,EG9&lt;=5%),"MODERATE RISK",EG9&lt;2%,"LOW RISK")</f>
        <v>MODERATE RISK</v>
      </c>
      <c r="EH13" t="str" cm="1">
        <f t="array" ref="EH13">_xlfn.IFS(EH9&gt;5%,"HIGH RISK",AND(EH9&gt;=2%,EH9&lt;=5%),"MODERATE RISK",EH9&lt;2%,"LOW RISK")</f>
        <v>LOW RISK</v>
      </c>
      <c r="EI13" t="str" cm="1">
        <f t="array" ref="EI13">_xlfn.IFS(EI9&gt;5%,"HIGH RISK",AND(EI9&gt;=2%,EI9&lt;=5%),"MODERATE RISK",EI9&lt;2%,"LOW RISK")</f>
        <v>MODERATE RISK</v>
      </c>
      <c r="EJ13" t="str" cm="1">
        <f t="array" ref="EJ13">_xlfn.IFS(EJ9&gt;5%,"HIGH RISK",AND(EJ9&gt;=2%,EJ9&lt;=5%),"MODERATE RISK",EJ9&lt;2%,"LOW RISK")</f>
        <v>LOW RISK</v>
      </c>
      <c r="EK13" t="str" cm="1">
        <f t="array" ref="EK13">_xlfn.IFS(EK9&gt;5%,"HIGH RISK",AND(EK9&gt;=2%,EK9&lt;=5%),"MODERATE RISK",EK9&lt;2%,"LOW RISK")</f>
        <v>LOW RISK</v>
      </c>
      <c r="EL13" t="str" cm="1">
        <f t="array" ref="EL13">_xlfn.IFS(EL9&gt;5%,"HIGH RISK",AND(EL9&gt;=2%,EL9&lt;=5%),"MODERATE RISK",EL9&lt;2%,"LOW RISK")</f>
        <v>LOW RISK</v>
      </c>
      <c r="EM13" t="str" cm="1">
        <f t="array" ref="EM13">_xlfn.IFS(EM9&gt;5%,"HIGH RISK",AND(EM9&gt;=2%,EM9&lt;=5%),"MODERATE RISK",EM9&lt;2%,"LOW RISK")</f>
        <v>LOW RISK</v>
      </c>
      <c r="EN13" t="str" cm="1">
        <f t="array" ref="EN13">_xlfn.IFS(EN9&gt;5%,"HIGH RISK",AND(EN9&gt;=2%,EN9&lt;=5%),"MODERATE RISK",EN9&lt;2%,"LOW RISK")</f>
        <v>LOW RISK</v>
      </c>
      <c r="EO13" t="str" cm="1">
        <f t="array" ref="EO13">_xlfn.IFS(EO9&gt;5%,"HIGH RISK",AND(EO9&gt;=2%,EO9&lt;=5%),"MODERATE RISK",EO9&lt;2%,"LOW RISK")</f>
        <v>HIGH RISK</v>
      </c>
      <c r="EP13" t="str" cm="1">
        <f t="array" ref="EP13">_xlfn.IFS(EP9&gt;5%,"HIGH RISK",AND(EP9&gt;=2%,EP9&lt;=5%),"MODERATE RISK",EP9&lt;2%,"LOW RISK")</f>
        <v>LOW RISK</v>
      </c>
      <c r="EQ13" t="str" cm="1">
        <f t="array" ref="EQ13">_xlfn.IFS(EQ9&gt;5%,"HIGH RISK",AND(EQ9&gt;=2%,EQ9&lt;=5%),"MODERATE RISK",EQ9&lt;2%,"LOW RISK")</f>
        <v>LOW RISK</v>
      </c>
      <c r="ER13" t="str" cm="1">
        <f t="array" ref="ER13">_xlfn.IFS(ER9&gt;5%,"HIGH RISK",AND(ER9&gt;=2%,ER9&lt;=5%),"MODERATE RISK",ER9&lt;2%,"LOW RISK")</f>
        <v>LOW RISK</v>
      </c>
      <c r="ES13" t="str" cm="1">
        <f t="array" ref="ES13">_xlfn.IFS(ES9&gt;5%,"HIGH RISK",AND(ES9&gt;=2%,ES9&lt;=5%),"MODERATE RISK",ES9&lt;2%,"LOW RISK")</f>
        <v>MODERATE RISK</v>
      </c>
      <c r="ET13" t="str" cm="1">
        <f t="array" ref="ET13">_xlfn.IFS(ET9&gt;5%,"HIGH RISK",AND(ET9&gt;=2%,ET9&lt;=5%),"MODERATE RISK",ET9&lt;2%,"LOW RISK")</f>
        <v>LOW RISK</v>
      </c>
      <c r="EU13" t="str" cm="1">
        <f t="array" ref="EU13">_xlfn.IFS(EU9&gt;5%,"HIGH RISK",AND(EU9&gt;=2%,EU9&lt;=5%),"MODERATE RISK",EU9&lt;2%,"LOW RISK")</f>
        <v>MODERATE RISK</v>
      </c>
      <c r="EV13" t="str" cm="1">
        <f t="array" ref="EV13">_xlfn.IFS(EV9&gt;5%,"HIGH RISK",AND(EV9&gt;=2%,EV9&lt;=5%),"MODERATE RISK",EV9&lt;2%,"LOW RISK")</f>
        <v>LOW RISK</v>
      </c>
      <c r="EW13" t="str" cm="1">
        <f t="array" ref="EW13">_xlfn.IFS(EW9&gt;5%,"HIGH RISK",AND(EW9&gt;=2%,EW9&lt;=5%),"MODERATE RISK",EW9&lt;2%,"LOW RISK")</f>
        <v>LOW RISK</v>
      </c>
      <c r="EX13" t="str" cm="1">
        <f t="array" ref="EX13">_xlfn.IFS(EX9&gt;5%,"HIGH RISK",AND(EX9&gt;=2%,EX9&lt;=5%),"MODERATE RISK",EX9&lt;2%,"LOW RISK")</f>
        <v>HIGH RISK</v>
      </c>
      <c r="EY13" t="str" cm="1">
        <f t="array" ref="EY13">_xlfn.IFS(EY9&gt;5%,"HIGH RISK",AND(EY9&gt;=2%,EY9&lt;=5%),"MODERATE RISK",EY9&lt;2%,"LOW RISK")</f>
        <v>MODERATE RISK</v>
      </c>
      <c r="EZ13" t="str" cm="1">
        <f t="array" ref="EZ13">_xlfn.IFS(EZ9&gt;5%,"HIGH RISK",AND(EZ9&gt;=2%,EZ9&lt;=5%),"MODERATE RISK",EZ9&lt;2%,"LOW RISK")</f>
        <v>LOW RISK</v>
      </c>
      <c r="FA13" t="str" cm="1">
        <f t="array" ref="FA13">_xlfn.IFS(FA9&gt;5%,"HIGH RISK",AND(FA9&gt;=2%,FA9&lt;=5%),"MODERATE RISK",FA9&lt;2%,"LOW RISK")</f>
        <v>MODERATE RISK</v>
      </c>
      <c r="FB13" t="str" cm="1">
        <f t="array" ref="FB13">_xlfn.IFS(FB9&gt;5%,"HIGH RISK",AND(FB9&gt;=2%,FB9&lt;=5%),"MODERATE RISK",FB9&lt;2%,"LOW RISK")</f>
        <v>LOW RISK</v>
      </c>
      <c r="FC13" t="str" cm="1">
        <f t="array" ref="FC13">_xlfn.IFS(FC9&gt;5%,"HIGH RISK",AND(FC9&gt;=2%,FC9&lt;=5%),"MODERATE RISK",FC9&lt;2%,"LOW RISK")</f>
        <v>HIGH RISK</v>
      </c>
      <c r="FD13" t="str" cm="1">
        <f t="array" ref="FD13">_xlfn.IFS(FD9&gt;5%,"HIGH RISK",AND(FD9&gt;=2%,FD9&lt;=5%),"MODERATE RISK",FD9&lt;2%,"LOW RISK")</f>
        <v>LOW RISK</v>
      </c>
      <c r="FE13" t="str" cm="1">
        <f t="array" ref="FE13">_xlfn.IFS(FE9&gt;5%,"HIGH RISK",AND(FE9&gt;=2%,FE9&lt;=5%),"MODERATE RISK",FE9&lt;2%,"LOW RISK")</f>
        <v>HIGH RISK</v>
      </c>
      <c r="FF13" t="str" cm="1">
        <f t="array" ref="FF13">_xlfn.IFS(FF9&gt;5%,"HIGH RISK",AND(FF9&gt;=2%,FF9&lt;=5%),"MODERATE RISK",FF9&lt;2%,"LOW RISK")</f>
        <v>LOW RISK</v>
      </c>
      <c r="FG13" t="str" cm="1">
        <f t="array" ref="FG13">_xlfn.IFS(FG9&gt;5%,"HIGH RISK",AND(FG9&gt;=2%,FG9&lt;=5%),"MODERATE RISK",FG9&lt;2%,"LOW RISK")</f>
        <v>HIGH RISK</v>
      </c>
      <c r="FH13" t="str" cm="1">
        <f t="array" ref="FH13">_xlfn.IFS(FH9&gt;5%,"HIGH RISK",AND(FH9&gt;=2%,FH9&lt;=5%),"MODERATE RISK",FH9&lt;2%,"LOW RISK")</f>
        <v>HIGH RISK</v>
      </c>
      <c r="FI13" t="str" cm="1">
        <f t="array" ref="FI13">_xlfn.IFS(FI9&gt;5%,"HIGH RISK",AND(FI9&gt;=2%,FI9&lt;=5%),"MODERATE RISK",FI9&lt;2%,"LOW RISK")</f>
        <v>HIGH RISK</v>
      </c>
      <c r="FJ13" t="str" cm="1">
        <f t="array" ref="FJ13">_xlfn.IFS(FJ9&gt;5%,"HIGH RISK",AND(FJ9&gt;=2%,FJ9&lt;=5%),"MODERATE RISK",FJ9&lt;2%,"LOW RISK")</f>
        <v>LOW RISK</v>
      </c>
      <c r="FK13" t="str" cm="1">
        <f t="array" ref="FK13">_xlfn.IFS(FK9&gt;5%,"HIGH RISK",AND(FK9&gt;=2%,FK9&lt;=5%),"MODERATE RISK",FK9&lt;2%,"LOW RISK")</f>
        <v>LOW RISK</v>
      </c>
      <c r="FL13" t="str" cm="1">
        <f t="array" ref="FL13">_xlfn.IFS(FL9&gt;5%,"HIGH RISK",AND(FL9&gt;=2%,FL9&lt;=5%),"MODERATE RISK",FL9&lt;2%,"LOW RISK")</f>
        <v>MODERATE RISK</v>
      </c>
      <c r="FM13" t="str" cm="1">
        <f t="array" ref="FM13">_xlfn.IFS(FM9&gt;5%,"HIGH RISK",AND(FM9&gt;=2%,FM9&lt;=5%),"MODERATE RISK",FM9&lt;2%,"LOW RISK")</f>
        <v>LOW RISK</v>
      </c>
      <c r="FN13" t="str" cm="1">
        <f t="array" ref="FN13">_xlfn.IFS(FN9&gt;5%,"HIGH RISK",AND(FN9&gt;=2%,FN9&lt;=5%),"MODERATE RISK",FN9&lt;2%,"LOW RISK")</f>
        <v>LOW RISK</v>
      </c>
      <c r="FO13" t="str" cm="1">
        <f t="array" ref="FO13">_xlfn.IFS(FO9&gt;5%,"HIGH RISK",AND(FO9&gt;=2%,FO9&lt;=5%),"MODERATE RISK",FO9&lt;2%,"LOW RISK")</f>
        <v>MODERATE RISK</v>
      </c>
      <c r="FP13" t="str" cm="1">
        <f t="array" ref="FP13">_xlfn.IFS(FP9&gt;5%,"HIGH RISK",AND(FP9&gt;=2%,FP9&lt;=5%),"MODERATE RISK",FP9&lt;2%,"LOW RISK")</f>
        <v>HIGH RISK</v>
      </c>
      <c r="FQ13" t="str" cm="1">
        <f t="array" ref="FQ13">_xlfn.IFS(FQ9&gt;5%,"HIGH RISK",AND(FQ9&gt;=2%,FQ9&lt;=5%),"MODERATE RISK",FQ9&lt;2%,"LOW RISK")</f>
        <v>MODERATE RISK</v>
      </c>
      <c r="FR13" t="str" cm="1">
        <f t="array" ref="FR13">_xlfn.IFS(FR9&gt;5%,"HIGH RISK",AND(FR9&gt;=2%,FR9&lt;=5%),"MODERATE RISK",FR9&lt;2%,"LOW RISK")</f>
        <v>MODERATE RISK</v>
      </c>
      <c r="FS13" t="str" cm="1">
        <f t="array" ref="FS13">_xlfn.IFS(FS9&gt;5%,"HIGH RISK",AND(FS9&gt;=2%,FS9&lt;=5%),"MODERATE RISK",FS9&lt;2%,"LOW RISK")</f>
        <v>MODERATE RISK</v>
      </c>
      <c r="FT13" t="str" cm="1">
        <f t="array" ref="FT13">_xlfn.IFS(FT9&gt;5%,"HIGH RISK",AND(FT9&gt;=2%,FT9&lt;=5%),"MODERATE RISK",FT9&lt;2%,"LOW RISK")</f>
        <v>LOW RISK</v>
      </c>
      <c r="FU13" t="str" cm="1">
        <f t="array" ref="FU13">_xlfn.IFS(FU9&gt;5%,"HIGH RISK",AND(FU9&gt;=2%,FU9&lt;=5%),"MODERATE RISK",FU9&lt;2%,"LOW RISK")</f>
        <v>MODERATE RISK</v>
      </c>
      <c r="FV13" t="str" cm="1">
        <f t="array" ref="FV13">_xlfn.IFS(FV9&gt;5%,"HIGH RISK",AND(FV9&gt;=2%,FV9&lt;=5%),"MODERATE RISK",FV9&lt;2%,"LOW RISK")</f>
        <v>LOW RISK</v>
      </c>
      <c r="FW13" t="str" cm="1">
        <f t="array" ref="FW13">_xlfn.IFS(FW9&gt;5%,"HIGH RISK",AND(FW9&gt;=2%,FW9&lt;=5%),"MODERATE RISK",FW9&lt;2%,"LOW RISK")</f>
        <v>HIGH RISK</v>
      </c>
      <c r="FX13" t="str" cm="1">
        <f t="array" ref="FX13">_xlfn.IFS(FX9&gt;5%,"HIGH RISK",AND(FX9&gt;=2%,FX9&lt;=5%),"MODERATE RISK",FX9&lt;2%,"LOW RISK")</f>
        <v>MODERATE RISK</v>
      </c>
      <c r="FY13" t="str" cm="1">
        <f t="array" ref="FY13">_xlfn.IFS(FY9&gt;5%,"HIGH RISK",AND(FY9&gt;=2%,FY9&lt;=5%),"MODERATE RISK",FY9&lt;2%,"LOW RISK")</f>
        <v>LOW RISK</v>
      </c>
      <c r="FZ13" t="str" cm="1">
        <f t="array" ref="FZ13">_xlfn.IFS(FZ9&gt;5%,"HIGH RISK",AND(FZ9&gt;=2%,FZ9&lt;=5%),"MODERATE RISK",FZ9&lt;2%,"LOW RISK")</f>
        <v>LOW RISK</v>
      </c>
      <c r="GA13" t="str" cm="1">
        <f t="array" ref="GA13">_xlfn.IFS(GA9&gt;5%,"HIGH RISK",AND(GA9&gt;=2%,GA9&lt;=5%),"MODERATE RISK",GA9&lt;2%,"LOW RISK")</f>
        <v>LOW RISK</v>
      </c>
      <c r="GB13" t="str" cm="1">
        <f t="array" ref="GB13">_xlfn.IFS(GB9&gt;5%,"HIGH RISK",AND(GB9&gt;=2%,GB9&lt;=5%),"MODERATE RISK",GB9&lt;2%,"LOW RISK")</f>
        <v>LOW RISK</v>
      </c>
      <c r="GC13" t="str" cm="1">
        <f t="array" ref="GC13">_xlfn.IFS(GC9&gt;5%,"HIGH RISK",AND(GC9&gt;=2%,GC9&lt;=5%),"MODERATE RISK",GC9&lt;2%,"LOW RISK")</f>
        <v>HIGH RISK</v>
      </c>
      <c r="GD13" t="str" cm="1">
        <f t="array" ref="GD13">_xlfn.IFS(GD9&gt;5%,"HIGH RISK",AND(GD9&gt;=2%,GD9&lt;=5%),"MODERATE RISK",GD9&lt;2%,"LOW RISK")</f>
        <v>HIGH RISK</v>
      </c>
      <c r="GE13" t="str" cm="1">
        <f t="array" ref="GE13">_xlfn.IFS(GE9&gt;5%,"HIGH RISK",AND(GE9&gt;=2%,GE9&lt;=5%),"MODERATE RISK",GE9&lt;2%,"LOW RISK")</f>
        <v>MODERATE RISK</v>
      </c>
      <c r="GF13" t="str" cm="1">
        <f t="array" ref="GF13">_xlfn.IFS(GF9&gt;5%,"HIGH RISK",AND(GF9&gt;=2%,GF9&lt;=5%),"MODERATE RISK",GF9&lt;2%,"LOW RISK")</f>
        <v>LOW RISK</v>
      </c>
    </row>
    <row r="14" spans="1:188" x14ac:dyDescent="0.3">
      <c r="A14" s="69" t="s">
        <v>45</v>
      </c>
      <c r="B14" cm="1">
        <f t="array" ref="B14">_xlfn.IFS(B13="LOW RISK",1,B13="MODERATE RISK",2,B13="HIGH RISK",3)</f>
        <v>2</v>
      </c>
      <c r="C14" cm="1">
        <f t="array" ref="C14">_xlfn.IFS(C13="LOW RISK",1,C13="MODERATE RISK",2,C13="HIGH RISK",3)</f>
        <v>2</v>
      </c>
      <c r="D14" cm="1">
        <f t="array" ref="D14">_xlfn.IFS(D13="LOW RISK",1,D13="MODERATE RISK",2,D13="HIGH RISK",3)</f>
        <v>2</v>
      </c>
      <c r="E14" cm="1">
        <f t="array" ref="E14">_xlfn.IFS(E13="LOW RISK",1,E13="MODERATE RISK",2,E13="HIGH RISK",3)</f>
        <v>3</v>
      </c>
      <c r="F14" cm="1">
        <f t="array" ref="F14">_xlfn.IFS(F13="LOW RISK",1,F13="MODERATE RISK",2,F13="HIGH RISK",3)</f>
        <v>2</v>
      </c>
      <c r="G14" cm="1">
        <f t="array" ref="G14">_xlfn.IFS(G13="LOW RISK",1,G13="MODERATE RISK",2,G13="HIGH RISK",3)</f>
        <v>2</v>
      </c>
      <c r="H14" cm="1">
        <f t="array" ref="H14">_xlfn.IFS(H13="LOW RISK",1,H13="MODERATE RISK",2,H13="HIGH RISK",3)</f>
        <v>1</v>
      </c>
      <c r="I14" cm="1">
        <f t="array" ref="I14">_xlfn.IFS(I13="LOW RISK",1,I13="MODERATE RISK",2,I13="HIGH RISK",3)</f>
        <v>1</v>
      </c>
      <c r="J14" cm="1">
        <f t="array" ref="J14">_xlfn.IFS(J13="LOW RISK",1,J13="MODERATE RISK",2,J13="HIGH RISK",3)</f>
        <v>1</v>
      </c>
      <c r="K14" cm="1">
        <f t="array" ref="K14">_xlfn.IFS(K13="LOW RISK",1,K13="MODERATE RISK",2,K13="HIGH RISK",3)</f>
        <v>2</v>
      </c>
      <c r="L14" cm="1">
        <f t="array" ref="L14">_xlfn.IFS(L13="LOW RISK",1,L13="MODERATE RISK",2,L13="HIGH RISK",3)</f>
        <v>1</v>
      </c>
      <c r="M14" cm="1">
        <f t="array" ref="M14">_xlfn.IFS(M13="LOW RISK",1,M13="MODERATE RISK",2,M13="HIGH RISK",3)</f>
        <v>2</v>
      </c>
      <c r="N14" cm="1">
        <f t="array" ref="N14">_xlfn.IFS(N13="LOW RISK",1,N13="MODERATE RISK",2,N13="HIGH RISK",3)</f>
        <v>1</v>
      </c>
      <c r="O14" cm="1">
        <f t="array" ref="O14">_xlfn.IFS(O13="LOW RISK",1,O13="MODERATE RISK",2,O13="HIGH RISK",3)</f>
        <v>1</v>
      </c>
      <c r="P14" cm="1">
        <f t="array" ref="P14">_xlfn.IFS(P13="LOW RISK",1,P13="MODERATE RISK",2,P13="HIGH RISK",3)</f>
        <v>3</v>
      </c>
      <c r="Q14" cm="1">
        <f t="array" ref="Q14">_xlfn.IFS(Q13="LOW RISK",1,Q13="MODERATE RISK",2,Q13="HIGH RISK",3)</f>
        <v>1</v>
      </c>
      <c r="R14" cm="1">
        <f t="array" ref="R14">_xlfn.IFS(R13="LOW RISK",1,R13="MODERATE RISK",2,R13="HIGH RISK",3)</f>
        <v>3</v>
      </c>
      <c r="S14" cm="1">
        <f t="array" ref="S14">_xlfn.IFS(S13="LOW RISK",1,S13="MODERATE RISK",2,S13="HIGH RISK",3)</f>
        <v>2</v>
      </c>
      <c r="T14" cm="1">
        <f t="array" ref="T14">_xlfn.IFS(T13="LOW RISK",1,T13="MODERATE RISK",2,T13="HIGH RISK",3)</f>
        <v>1</v>
      </c>
      <c r="U14" cm="1">
        <f t="array" ref="U14">_xlfn.IFS(U13="LOW RISK",1,U13="MODERATE RISK",2,U13="HIGH RISK",3)</f>
        <v>1</v>
      </c>
      <c r="V14" cm="1">
        <f t="array" ref="V14">_xlfn.IFS(V13="LOW RISK",1,V13="MODERATE RISK",2,V13="HIGH RISK",3)</f>
        <v>2</v>
      </c>
      <c r="W14" cm="1">
        <f t="array" ref="W14">_xlfn.IFS(W13="LOW RISK",1,W13="MODERATE RISK",2,W13="HIGH RISK",3)</f>
        <v>2</v>
      </c>
      <c r="X14" cm="1">
        <f t="array" ref="X14">_xlfn.IFS(X13="LOW RISK",1,X13="MODERATE RISK",2,X13="HIGH RISK",3)</f>
        <v>1</v>
      </c>
      <c r="Y14" cm="1">
        <f t="array" ref="Y14">_xlfn.IFS(Y13="LOW RISK",1,Y13="MODERATE RISK",2,Y13="HIGH RISK",3)</f>
        <v>2</v>
      </c>
      <c r="Z14" cm="1">
        <f t="array" ref="Z14">_xlfn.IFS(Z13="LOW RISK",1,Z13="MODERATE RISK",2,Z13="HIGH RISK",3)</f>
        <v>2</v>
      </c>
      <c r="AA14" cm="1">
        <f t="array" ref="AA14">_xlfn.IFS(AA13="LOW RISK",1,AA13="MODERATE RISK",2,AA13="HIGH RISK",3)</f>
        <v>2</v>
      </c>
      <c r="AB14" cm="1">
        <f t="array" ref="AB14">_xlfn.IFS(AB13="LOW RISK",1,AB13="MODERATE RISK",2,AB13="HIGH RISK",3)</f>
        <v>2</v>
      </c>
      <c r="AC14" cm="1">
        <f t="array" ref="AC14">_xlfn.IFS(AC13="LOW RISK",1,AC13="MODERATE RISK",2,AC13="HIGH RISK",3)</f>
        <v>1</v>
      </c>
      <c r="AD14" cm="1">
        <f t="array" ref="AD14">_xlfn.IFS(AD13="LOW RISK",1,AD13="MODERATE RISK",2,AD13="HIGH RISK",3)</f>
        <v>1</v>
      </c>
      <c r="AE14" cm="1">
        <f t="array" ref="AE14">_xlfn.IFS(AE13="LOW RISK",1,AE13="MODERATE RISK",2,AE13="HIGH RISK",3)</f>
        <v>1</v>
      </c>
      <c r="AF14" cm="1">
        <f t="array" ref="AF14">_xlfn.IFS(AF13="LOW RISK",1,AF13="MODERATE RISK",2,AF13="HIGH RISK",3)</f>
        <v>1</v>
      </c>
      <c r="AG14" cm="1">
        <f t="array" ref="AG14">_xlfn.IFS(AG13="LOW RISK",1,AG13="MODERATE RISK",2,AG13="HIGH RISK",3)</f>
        <v>2</v>
      </c>
      <c r="AH14" cm="1">
        <f t="array" ref="AH14">_xlfn.IFS(AH13="LOW RISK",1,AH13="MODERATE RISK",2,AH13="HIGH RISK",3)</f>
        <v>3</v>
      </c>
      <c r="AI14" cm="1">
        <f t="array" ref="AI14">_xlfn.IFS(AI13="LOW RISK",1,AI13="MODERATE RISK",2,AI13="HIGH RISK",3)</f>
        <v>1</v>
      </c>
      <c r="AJ14" cm="1">
        <f t="array" ref="AJ14">_xlfn.IFS(AJ13="LOW RISK",1,AJ13="MODERATE RISK",2,AJ13="HIGH RISK",3)</f>
        <v>3</v>
      </c>
      <c r="AK14" cm="1">
        <f t="array" ref="AK14">_xlfn.IFS(AK13="LOW RISK",1,AK13="MODERATE RISK",2,AK13="HIGH RISK",3)</f>
        <v>2</v>
      </c>
      <c r="AL14" cm="1">
        <f t="array" ref="AL14">_xlfn.IFS(AL13="LOW RISK",1,AL13="MODERATE RISK",2,AL13="HIGH RISK",3)</f>
        <v>3</v>
      </c>
      <c r="AM14" cm="1">
        <f t="array" ref="AM14">_xlfn.IFS(AM13="LOW RISK",1,AM13="MODERATE RISK",2,AM13="HIGH RISK",3)</f>
        <v>2</v>
      </c>
      <c r="AN14" cm="1">
        <f t="array" ref="AN14">_xlfn.IFS(AN13="LOW RISK",1,AN13="MODERATE RISK",2,AN13="HIGH RISK",3)</f>
        <v>1</v>
      </c>
      <c r="AO14" cm="1">
        <f t="array" ref="AO14">_xlfn.IFS(AO13="LOW RISK",1,AO13="MODERATE RISK",2,AO13="HIGH RISK",3)</f>
        <v>1</v>
      </c>
      <c r="AP14" cm="1">
        <f t="array" ref="AP14">_xlfn.IFS(AP13="LOW RISK",1,AP13="MODERATE RISK",2,AP13="HIGH RISK",3)</f>
        <v>2</v>
      </c>
      <c r="AQ14" cm="1">
        <f t="array" ref="AQ14">_xlfn.IFS(AQ13="LOW RISK",1,AQ13="MODERATE RISK",2,AQ13="HIGH RISK",3)</f>
        <v>1</v>
      </c>
      <c r="AR14" cm="1">
        <f t="array" ref="AR14">_xlfn.IFS(AR13="LOW RISK",1,AR13="MODERATE RISK",2,AR13="HIGH RISK",3)</f>
        <v>1</v>
      </c>
      <c r="AS14" cm="1">
        <f t="array" ref="AS14">_xlfn.IFS(AS13="LOW RISK",1,AS13="MODERATE RISK",2,AS13="HIGH RISK",3)</f>
        <v>2</v>
      </c>
      <c r="AT14" cm="1">
        <f t="array" ref="AT14">_xlfn.IFS(AT13="LOW RISK",1,AT13="MODERATE RISK",2,AT13="HIGH RISK",3)</f>
        <v>2</v>
      </c>
      <c r="AU14" cm="1">
        <f t="array" ref="AU14">_xlfn.IFS(AU13="LOW RISK",1,AU13="MODERATE RISK",2,AU13="HIGH RISK",3)</f>
        <v>1</v>
      </c>
      <c r="AV14" cm="1">
        <f t="array" ref="AV14">_xlfn.IFS(AV13="LOW RISK",1,AV13="MODERATE RISK",2,AV13="HIGH RISK",3)</f>
        <v>2</v>
      </c>
      <c r="AW14" cm="1">
        <f t="array" ref="AW14">_xlfn.IFS(AW13="LOW RISK",1,AW13="MODERATE RISK",2,AW13="HIGH RISK",3)</f>
        <v>2</v>
      </c>
      <c r="AX14" cm="1">
        <f t="array" ref="AX14">_xlfn.IFS(AX13="LOW RISK",1,AX13="MODERATE RISK",2,AX13="HIGH RISK",3)</f>
        <v>1</v>
      </c>
      <c r="AY14" cm="1">
        <f t="array" ref="AY14">_xlfn.IFS(AY13="LOW RISK",1,AY13="MODERATE RISK",2,AY13="HIGH RISK",3)</f>
        <v>1</v>
      </c>
      <c r="AZ14" cm="1">
        <f t="array" ref="AZ14">_xlfn.IFS(AZ13="LOW RISK",1,AZ13="MODERATE RISK",2,AZ13="HIGH RISK",3)</f>
        <v>1</v>
      </c>
      <c r="BA14" cm="1">
        <f t="array" ref="BA14">_xlfn.IFS(BA13="LOW RISK",1,BA13="MODERATE RISK",2,BA13="HIGH RISK",3)</f>
        <v>3</v>
      </c>
      <c r="BB14" cm="1">
        <f t="array" ref="BB14">_xlfn.IFS(BB13="LOW RISK",1,BB13="MODERATE RISK",2,BB13="HIGH RISK",3)</f>
        <v>3</v>
      </c>
      <c r="BC14" cm="1">
        <f t="array" ref="BC14">_xlfn.IFS(BC13="LOW RISK",1,BC13="MODERATE RISK",2,BC13="HIGH RISK",3)</f>
        <v>2</v>
      </c>
      <c r="BD14" cm="1">
        <f t="array" ref="BD14">_xlfn.IFS(BD13="LOW RISK",1,BD13="MODERATE RISK",2,BD13="HIGH RISK",3)</f>
        <v>1</v>
      </c>
      <c r="BE14" cm="1">
        <f t="array" ref="BE14">_xlfn.IFS(BE13="LOW RISK",1,BE13="MODERATE RISK",2,BE13="HIGH RISK",3)</f>
        <v>1</v>
      </c>
      <c r="BF14" cm="1">
        <f t="array" ref="BF14">_xlfn.IFS(BF13="LOW RISK",1,BF13="MODERATE RISK",2,BF13="HIGH RISK",3)</f>
        <v>2</v>
      </c>
      <c r="BG14" cm="1">
        <f t="array" ref="BG14">_xlfn.IFS(BG13="LOW RISK",1,BG13="MODERATE RISK",2,BG13="HIGH RISK",3)</f>
        <v>1</v>
      </c>
      <c r="BH14" cm="1">
        <f t="array" ref="BH14">_xlfn.IFS(BH13="LOW RISK",1,BH13="MODERATE RISK",2,BH13="HIGH RISK",3)</f>
        <v>1</v>
      </c>
      <c r="BI14" cm="1">
        <f t="array" ref="BI14">_xlfn.IFS(BI13="LOW RISK",1,BI13="MODERATE RISK",2,BI13="HIGH RISK",3)</f>
        <v>1</v>
      </c>
      <c r="BJ14" cm="1">
        <f t="array" ref="BJ14">_xlfn.IFS(BJ13="LOW RISK",1,BJ13="MODERATE RISK",2,BJ13="HIGH RISK",3)</f>
        <v>2</v>
      </c>
      <c r="BK14" cm="1">
        <f t="array" ref="BK14">_xlfn.IFS(BK13="LOW RISK",1,BK13="MODERATE RISK",2,BK13="HIGH RISK",3)</f>
        <v>3</v>
      </c>
      <c r="BL14" cm="1">
        <f t="array" ref="BL14">_xlfn.IFS(BL13="LOW RISK",1,BL13="MODERATE RISK",2,BL13="HIGH RISK",3)</f>
        <v>1</v>
      </c>
      <c r="BM14" cm="1">
        <f t="array" ref="BM14">_xlfn.IFS(BM13="LOW RISK",1,BM13="MODERATE RISK",2,BM13="HIGH RISK",3)</f>
        <v>2</v>
      </c>
      <c r="BN14" cm="1">
        <f t="array" ref="BN14">_xlfn.IFS(BN13="LOW RISK",1,BN13="MODERATE RISK",2,BN13="HIGH RISK",3)</f>
        <v>1</v>
      </c>
      <c r="BO14" cm="1">
        <f t="array" ref="BO14">_xlfn.IFS(BO13="LOW RISK",1,BO13="MODERATE RISK",2,BO13="HIGH RISK",3)</f>
        <v>2</v>
      </c>
      <c r="BP14" cm="1">
        <f t="array" ref="BP14">_xlfn.IFS(BP13="LOW RISK",1,BP13="MODERATE RISK",2,BP13="HIGH RISK",3)</f>
        <v>1</v>
      </c>
      <c r="BQ14" cm="1">
        <f t="array" ref="BQ14">_xlfn.IFS(BQ13="LOW RISK",1,BQ13="MODERATE RISK",2,BQ13="HIGH RISK",3)</f>
        <v>2</v>
      </c>
      <c r="BR14" cm="1">
        <f t="array" ref="BR14">_xlfn.IFS(BR13="LOW RISK",1,BR13="MODERATE RISK",2,BR13="HIGH RISK",3)</f>
        <v>1</v>
      </c>
      <c r="BS14" cm="1">
        <f t="array" ref="BS14">_xlfn.IFS(BS13="LOW RISK",1,BS13="MODERATE RISK",2,BS13="HIGH RISK",3)</f>
        <v>1</v>
      </c>
      <c r="BT14" cm="1">
        <f t="array" ref="BT14">_xlfn.IFS(BT13="LOW RISK",1,BT13="MODERATE RISK",2,BT13="HIGH RISK",3)</f>
        <v>2</v>
      </c>
      <c r="BU14" cm="1">
        <f t="array" ref="BU14">_xlfn.IFS(BU13="LOW RISK",1,BU13="MODERATE RISK",2,BU13="HIGH RISK",3)</f>
        <v>1</v>
      </c>
      <c r="BV14" cm="1">
        <f t="array" ref="BV14">_xlfn.IFS(BV13="LOW RISK",1,BV13="MODERATE RISK",2,BV13="HIGH RISK",3)</f>
        <v>1</v>
      </c>
      <c r="BW14" cm="1">
        <f t="array" ref="BW14">_xlfn.IFS(BW13="LOW RISK",1,BW13="MODERATE RISK",2,BW13="HIGH RISK",3)</f>
        <v>3</v>
      </c>
      <c r="BX14" cm="1">
        <f t="array" ref="BX14">_xlfn.IFS(BX13="LOW RISK",1,BX13="MODERATE RISK",2,BX13="HIGH RISK",3)</f>
        <v>2</v>
      </c>
      <c r="BY14" cm="1">
        <f t="array" ref="BY14">_xlfn.IFS(BY13="LOW RISK",1,BY13="MODERATE RISK",2,BY13="HIGH RISK",3)</f>
        <v>1</v>
      </c>
      <c r="BZ14" cm="1">
        <f t="array" ref="BZ14">_xlfn.IFS(BZ13="LOW RISK",1,BZ13="MODERATE RISK",2,BZ13="HIGH RISK",3)</f>
        <v>2</v>
      </c>
      <c r="CA14" cm="1">
        <f t="array" ref="CA14">_xlfn.IFS(CA13="LOW RISK",1,CA13="MODERATE RISK",2,CA13="HIGH RISK",3)</f>
        <v>3</v>
      </c>
      <c r="CB14" cm="1">
        <f t="array" ref="CB14">_xlfn.IFS(CB13="LOW RISK",1,CB13="MODERATE RISK",2,CB13="HIGH RISK",3)</f>
        <v>1</v>
      </c>
      <c r="CC14" cm="1">
        <f t="array" ref="CC14">_xlfn.IFS(CC13="LOW RISK",1,CC13="MODERATE RISK",2,CC13="HIGH RISK",3)</f>
        <v>2</v>
      </c>
      <c r="CD14" cm="1">
        <f t="array" ref="CD14">_xlfn.IFS(CD13="LOW RISK",1,CD13="MODERATE RISK",2,CD13="HIGH RISK",3)</f>
        <v>2</v>
      </c>
      <c r="CE14" cm="1">
        <f t="array" ref="CE14">_xlfn.IFS(CE13="LOW RISK",1,CE13="MODERATE RISK",2,CE13="HIGH RISK",3)</f>
        <v>3</v>
      </c>
      <c r="CF14" cm="1">
        <f t="array" ref="CF14">_xlfn.IFS(CF13="LOW RISK",1,CF13="MODERATE RISK",2,CF13="HIGH RISK",3)</f>
        <v>2</v>
      </c>
      <c r="CG14" cm="1">
        <f t="array" ref="CG14">_xlfn.IFS(CG13="LOW RISK",1,CG13="MODERATE RISK",2,CG13="HIGH RISK",3)</f>
        <v>3</v>
      </c>
      <c r="CH14" cm="1">
        <f t="array" ref="CH14">_xlfn.IFS(CH13="LOW RISK",1,CH13="MODERATE RISK",2,CH13="HIGH RISK",3)</f>
        <v>1</v>
      </c>
      <c r="CI14" cm="1">
        <f t="array" ref="CI14">_xlfn.IFS(CI13="LOW RISK",1,CI13="MODERATE RISK",2,CI13="HIGH RISK",3)</f>
        <v>3</v>
      </c>
      <c r="CJ14" cm="1">
        <f t="array" ref="CJ14">_xlfn.IFS(CJ13="LOW RISK",1,CJ13="MODERATE RISK",2,CJ13="HIGH RISK",3)</f>
        <v>1</v>
      </c>
      <c r="CK14" cm="1">
        <f t="array" ref="CK14">_xlfn.IFS(CK13="LOW RISK",1,CK13="MODERATE RISK",2,CK13="HIGH RISK",3)</f>
        <v>2</v>
      </c>
      <c r="CL14" cm="1">
        <f t="array" ref="CL14">_xlfn.IFS(CL13="LOW RISK",1,CL13="MODERATE RISK",2,CL13="HIGH RISK",3)</f>
        <v>1</v>
      </c>
      <c r="CM14" cm="1">
        <f t="array" ref="CM14">_xlfn.IFS(CM13="LOW RISK",1,CM13="MODERATE RISK",2,CM13="HIGH RISK",3)</f>
        <v>1</v>
      </c>
      <c r="CN14" cm="1">
        <f t="array" ref="CN14">_xlfn.IFS(CN13="LOW RISK",1,CN13="MODERATE RISK",2,CN13="HIGH RISK",3)</f>
        <v>1</v>
      </c>
      <c r="CO14" cm="1">
        <f t="array" ref="CO14">_xlfn.IFS(CO13="LOW RISK",1,CO13="MODERATE RISK",2,CO13="HIGH RISK",3)</f>
        <v>2</v>
      </c>
      <c r="CP14" cm="1">
        <f t="array" ref="CP14">_xlfn.IFS(CP13="LOW RISK",1,CP13="MODERATE RISK",2,CP13="HIGH RISK",3)</f>
        <v>1</v>
      </c>
      <c r="CQ14" cm="1">
        <f t="array" ref="CQ14">_xlfn.IFS(CQ13="LOW RISK",1,CQ13="MODERATE RISK",2,CQ13="HIGH RISK",3)</f>
        <v>2</v>
      </c>
      <c r="CR14" cm="1">
        <f t="array" ref="CR14">_xlfn.IFS(CR13="LOW RISK",1,CR13="MODERATE RISK",2,CR13="HIGH RISK",3)</f>
        <v>1</v>
      </c>
      <c r="CS14" cm="1">
        <f t="array" ref="CS14">_xlfn.IFS(CS13="LOW RISK",1,CS13="MODERATE RISK",2,CS13="HIGH RISK",3)</f>
        <v>2</v>
      </c>
      <c r="CT14" cm="1">
        <f t="array" ref="CT14">_xlfn.IFS(CT13="LOW RISK",1,CT13="MODERATE RISK",2,CT13="HIGH RISK",3)</f>
        <v>1</v>
      </c>
      <c r="CU14" cm="1">
        <f t="array" ref="CU14">_xlfn.IFS(CU13="LOW RISK",1,CU13="MODERATE RISK",2,CU13="HIGH RISK",3)</f>
        <v>2</v>
      </c>
      <c r="CV14" cm="1">
        <f t="array" ref="CV14">_xlfn.IFS(CV13="LOW RISK",1,CV13="MODERATE RISK",2,CV13="HIGH RISK",3)</f>
        <v>3</v>
      </c>
      <c r="CW14" cm="1">
        <f t="array" ref="CW14">_xlfn.IFS(CW13="LOW RISK",1,CW13="MODERATE RISK",2,CW13="HIGH RISK",3)</f>
        <v>2</v>
      </c>
      <c r="CX14" cm="1">
        <f t="array" ref="CX14">_xlfn.IFS(CX13="LOW RISK",1,CX13="MODERATE RISK",2,CX13="HIGH RISK",3)</f>
        <v>1</v>
      </c>
      <c r="CY14" cm="1">
        <f t="array" ref="CY14">_xlfn.IFS(CY13="LOW RISK",1,CY13="MODERATE RISK",2,CY13="HIGH RISK",3)</f>
        <v>2</v>
      </c>
      <c r="CZ14" cm="1">
        <f t="array" ref="CZ14">_xlfn.IFS(CZ13="LOW RISK",1,CZ13="MODERATE RISK",2,CZ13="HIGH RISK",3)</f>
        <v>1</v>
      </c>
      <c r="DA14" cm="1">
        <f t="array" ref="DA14">_xlfn.IFS(DA13="LOW RISK",1,DA13="MODERATE RISK",2,DA13="HIGH RISK",3)</f>
        <v>1</v>
      </c>
      <c r="DB14" cm="1">
        <f t="array" ref="DB14">_xlfn.IFS(DB13="LOW RISK",1,DB13="MODERATE RISK",2,DB13="HIGH RISK",3)</f>
        <v>2</v>
      </c>
      <c r="DC14" cm="1">
        <f t="array" ref="DC14">_xlfn.IFS(DC13="LOW RISK",1,DC13="MODERATE RISK",2,DC13="HIGH RISK",3)</f>
        <v>1</v>
      </c>
      <c r="DD14" cm="1">
        <f t="array" ref="DD14">_xlfn.IFS(DD13="LOW RISK",1,DD13="MODERATE RISK",2,DD13="HIGH RISK",3)</f>
        <v>1</v>
      </c>
      <c r="DE14" cm="1">
        <f t="array" ref="DE14">_xlfn.IFS(DE13="LOW RISK",1,DE13="MODERATE RISK",2,DE13="HIGH RISK",3)</f>
        <v>2</v>
      </c>
      <c r="DF14" cm="1">
        <f t="array" ref="DF14">_xlfn.IFS(DF13="LOW RISK",1,DF13="MODERATE RISK",2,DF13="HIGH RISK",3)</f>
        <v>1</v>
      </c>
      <c r="DG14" cm="1">
        <f t="array" ref="DG14">_xlfn.IFS(DG13="LOW RISK",1,DG13="MODERATE RISK",2,DG13="HIGH RISK",3)</f>
        <v>2</v>
      </c>
      <c r="DH14" cm="1">
        <f t="array" ref="DH14">_xlfn.IFS(DH13="LOW RISK",1,DH13="MODERATE RISK",2,DH13="HIGH RISK",3)</f>
        <v>2</v>
      </c>
      <c r="DI14" cm="1">
        <f t="array" ref="DI14">_xlfn.IFS(DI13="LOW RISK",1,DI13="MODERATE RISK",2,DI13="HIGH RISK",3)</f>
        <v>3</v>
      </c>
      <c r="DJ14" cm="1">
        <f t="array" ref="DJ14">_xlfn.IFS(DJ13="LOW RISK",1,DJ13="MODERATE RISK",2,DJ13="HIGH RISK",3)</f>
        <v>2</v>
      </c>
      <c r="DK14" cm="1">
        <f t="array" ref="DK14">_xlfn.IFS(DK13="LOW RISK",1,DK13="MODERATE RISK",2,DK13="HIGH RISK",3)</f>
        <v>2</v>
      </c>
      <c r="DL14" cm="1">
        <f t="array" ref="DL14">_xlfn.IFS(DL13="LOW RISK",1,DL13="MODERATE RISK",2,DL13="HIGH RISK",3)</f>
        <v>1</v>
      </c>
      <c r="DM14" cm="1">
        <f t="array" ref="DM14">_xlfn.IFS(DM13="LOW RISK",1,DM13="MODERATE RISK",2,DM13="HIGH RISK",3)</f>
        <v>1</v>
      </c>
      <c r="DN14" cm="1">
        <f t="array" ref="DN14">_xlfn.IFS(DN13="LOW RISK",1,DN13="MODERATE RISK",2,DN13="HIGH RISK",3)</f>
        <v>1</v>
      </c>
      <c r="DO14" cm="1">
        <f t="array" ref="DO14">_xlfn.IFS(DO13="LOW RISK",1,DO13="MODERATE RISK",2,DO13="HIGH RISK",3)</f>
        <v>1</v>
      </c>
      <c r="DP14" cm="1">
        <f t="array" ref="DP14">_xlfn.IFS(DP13="LOW RISK",1,DP13="MODERATE RISK",2,DP13="HIGH RISK",3)</f>
        <v>1</v>
      </c>
      <c r="DQ14" cm="1">
        <f t="array" ref="DQ14">_xlfn.IFS(DQ13="LOW RISK",1,DQ13="MODERATE RISK",2,DQ13="HIGH RISK",3)</f>
        <v>1</v>
      </c>
      <c r="DR14" cm="1">
        <f t="array" ref="DR14">_xlfn.IFS(DR13="LOW RISK",1,DR13="MODERATE RISK",2,DR13="HIGH RISK",3)</f>
        <v>3</v>
      </c>
      <c r="DS14" cm="1">
        <f t="array" ref="DS14">_xlfn.IFS(DS13="LOW RISK",1,DS13="MODERATE RISK",2,DS13="HIGH RISK",3)</f>
        <v>1</v>
      </c>
      <c r="DT14" cm="1">
        <f t="array" ref="DT14">_xlfn.IFS(DT13="LOW RISK",1,DT13="MODERATE RISK",2,DT13="HIGH RISK",3)</f>
        <v>2</v>
      </c>
      <c r="DU14" cm="1">
        <f t="array" ref="DU14">_xlfn.IFS(DU13="LOW RISK",1,DU13="MODERATE RISK",2,DU13="HIGH RISK",3)</f>
        <v>3</v>
      </c>
      <c r="DV14" cm="1">
        <f t="array" ref="DV14">_xlfn.IFS(DV13="LOW RISK",1,DV13="MODERATE RISK",2,DV13="HIGH RISK",3)</f>
        <v>2</v>
      </c>
      <c r="DW14" cm="1">
        <f t="array" ref="DW14">_xlfn.IFS(DW13="LOW RISK",1,DW13="MODERATE RISK",2,DW13="HIGH RISK",3)</f>
        <v>2</v>
      </c>
      <c r="DX14" cm="1">
        <f t="array" ref="DX14">_xlfn.IFS(DX13="LOW RISK",1,DX13="MODERATE RISK",2,DX13="HIGH RISK",3)</f>
        <v>2</v>
      </c>
      <c r="DY14" cm="1">
        <f t="array" ref="DY14">_xlfn.IFS(DY13="LOW RISK",1,DY13="MODERATE RISK",2,DY13="HIGH RISK",3)</f>
        <v>1</v>
      </c>
      <c r="DZ14" cm="1">
        <f t="array" ref="DZ14">_xlfn.IFS(DZ13="LOW RISK",1,DZ13="MODERATE RISK",2,DZ13="HIGH RISK",3)</f>
        <v>2</v>
      </c>
      <c r="EA14" cm="1">
        <f t="array" ref="EA14">_xlfn.IFS(EA13="LOW RISK",1,EA13="MODERATE RISK",2,EA13="HIGH RISK",3)</f>
        <v>2</v>
      </c>
      <c r="EB14" cm="1">
        <f t="array" ref="EB14">_xlfn.IFS(EB13="LOW RISK",1,EB13="MODERATE RISK",2,EB13="HIGH RISK",3)</f>
        <v>1</v>
      </c>
      <c r="EC14" cm="1">
        <f t="array" ref="EC14">_xlfn.IFS(EC13="LOW RISK",1,EC13="MODERATE RISK",2,EC13="HIGH RISK",3)</f>
        <v>1</v>
      </c>
      <c r="ED14" cm="1">
        <f t="array" ref="ED14">_xlfn.IFS(ED13="LOW RISK",1,ED13="MODERATE RISK",2,ED13="HIGH RISK",3)</f>
        <v>2</v>
      </c>
      <c r="EE14" cm="1">
        <f t="array" ref="EE14">_xlfn.IFS(EE13="LOW RISK",1,EE13="MODERATE RISK",2,EE13="HIGH RISK",3)</f>
        <v>2</v>
      </c>
      <c r="EF14" cm="1">
        <f t="array" ref="EF14">_xlfn.IFS(EF13="LOW RISK",1,EF13="MODERATE RISK",2,EF13="HIGH RISK",3)</f>
        <v>2</v>
      </c>
      <c r="EG14" cm="1">
        <f t="array" ref="EG14">_xlfn.IFS(EG13="LOW RISK",1,EG13="MODERATE RISK",2,EG13="HIGH RISK",3)</f>
        <v>2</v>
      </c>
      <c r="EH14" cm="1">
        <f t="array" ref="EH14">_xlfn.IFS(EH13="LOW RISK",1,EH13="MODERATE RISK",2,EH13="HIGH RISK",3)</f>
        <v>1</v>
      </c>
      <c r="EI14" cm="1">
        <f t="array" ref="EI14">_xlfn.IFS(EI13="LOW RISK",1,EI13="MODERATE RISK",2,EI13="HIGH RISK",3)</f>
        <v>2</v>
      </c>
      <c r="EJ14" cm="1">
        <f t="array" ref="EJ14">_xlfn.IFS(EJ13="LOW RISK",1,EJ13="MODERATE RISK",2,EJ13="HIGH RISK",3)</f>
        <v>1</v>
      </c>
      <c r="EK14" cm="1">
        <f t="array" ref="EK14">_xlfn.IFS(EK13="LOW RISK",1,EK13="MODERATE RISK",2,EK13="HIGH RISK",3)</f>
        <v>1</v>
      </c>
      <c r="EL14" cm="1">
        <f t="array" ref="EL14">_xlfn.IFS(EL13="LOW RISK",1,EL13="MODERATE RISK",2,EL13="HIGH RISK",3)</f>
        <v>1</v>
      </c>
      <c r="EM14" cm="1">
        <f t="array" ref="EM14">_xlfn.IFS(EM13="LOW RISK",1,EM13="MODERATE RISK",2,EM13="HIGH RISK",3)</f>
        <v>1</v>
      </c>
      <c r="EN14" cm="1">
        <f t="array" ref="EN14">_xlfn.IFS(EN13="LOW RISK",1,EN13="MODERATE RISK",2,EN13="HIGH RISK",3)</f>
        <v>1</v>
      </c>
      <c r="EO14" cm="1">
        <f t="array" ref="EO14">_xlfn.IFS(EO13="LOW RISK",1,EO13="MODERATE RISK",2,EO13="HIGH RISK",3)</f>
        <v>3</v>
      </c>
      <c r="EP14" cm="1">
        <f t="array" ref="EP14">_xlfn.IFS(EP13="LOW RISK",1,EP13="MODERATE RISK",2,EP13="HIGH RISK",3)</f>
        <v>1</v>
      </c>
      <c r="EQ14" cm="1">
        <f t="array" ref="EQ14">_xlfn.IFS(EQ13="LOW RISK",1,EQ13="MODERATE RISK",2,EQ13="HIGH RISK",3)</f>
        <v>1</v>
      </c>
      <c r="ER14" cm="1">
        <f t="array" ref="ER14">_xlfn.IFS(ER13="LOW RISK",1,ER13="MODERATE RISK",2,ER13="HIGH RISK",3)</f>
        <v>1</v>
      </c>
      <c r="ES14" cm="1">
        <f t="array" ref="ES14">_xlfn.IFS(ES13="LOW RISK",1,ES13="MODERATE RISK",2,ES13="HIGH RISK",3)</f>
        <v>2</v>
      </c>
      <c r="ET14" cm="1">
        <f t="array" ref="ET14">_xlfn.IFS(ET13="LOW RISK",1,ET13="MODERATE RISK",2,ET13="HIGH RISK",3)</f>
        <v>1</v>
      </c>
      <c r="EU14" cm="1">
        <f t="array" ref="EU14">_xlfn.IFS(EU13="LOW RISK",1,EU13="MODERATE RISK",2,EU13="HIGH RISK",3)</f>
        <v>2</v>
      </c>
      <c r="EV14" cm="1">
        <f t="array" ref="EV14">_xlfn.IFS(EV13="LOW RISK",1,EV13="MODERATE RISK",2,EV13="HIGH RISK",3)</f>
        <v>1</v>
      </c>
      <c r="EW14" cm="1">
        <f t="array" ref="EW14">_xlfn.IFS(EW13="LOW RISK",1,EW13="MODERATE RISK",2,EW13="HIGH RISK",3)</f>
        <v>1</v>
      </c>
      <c r="EX14" cm="1">
        <f t="array" ref="EX14">_xlfn.IFS(EX13="LOW RISK",1,EX13="MODERATE RISK",2,EX13="HIGH RISK",3)</f>
        <v>3</v>
      </c>
      <c r="EY14" cm="1">
        <f t="array" ref="EY14">_xlfn.IFS(EY13="LOW RISK",1,EY13="MODERATE RISK",2,EY13="HIGH RISK",3)</f>
        <v>2</v>
      </c>
      <c r="EZ14" cm="1">
        <f t="array" ref="EZ14">_xlfn.IFS(EZ13="LOW RISK",1,EZ13="MODERATE RISK",2,EZ13="HIGH RISK",3)</f>
        <v>1</v>
      </c>
      <c r="FA14" cm="1">
        <f t="array" ref="FA14">_xlfn.IFS(FA13="LOW RISK",1,FA13="MODERATE RISK",2,FA13="HIGH RISK",3)</f>
        <v>2</v>
      </c>
      <c r="FB14" cm="1">
        <f t="array" ref="FB14">_xlfn.IFS(FB13="LOW RISK",1,FB13="MODERATE RISK",2,FB13="HIGH RISK",3)</f>
        <v>1</v>
      </c>
      <c r="FC14" cm="1">
        <f t="array" ref="FC14">_xlfn.IFS(FC13="LOW RISK",1,FC13="MODERATE RISK",2,FC13="HIGH RISK",3)</f>
        <v>3</v>
      </c>
      <c r="FD14" cm="1">
        <f t="array" ref="FD14">_xlfn.IFS(FD13="LOW RISK",1,FD13="MODERATE RISK",2,FD13="HIGH RISK",3)</f>
        <v>1</v>
      </c>
      <c r="FE14" cm="1">
        <f t="array" ref="FE14">_xlfn.IFS(FE13="LOW RISK",1,FE13="MODERATE RISK",2,FE13="HIGH RISK",3)</f>
        <v>3</v>
      </c>
      <c r="FF14" cm="1">
        <f t="array" ref="FF14">_xlfn.IFS(FF13="LOW RISK",1,FF13="MODERATE RISK",2,FF13="HIGH RISK",3)</f>
        <v>1</v>
      </c>
      <c r="FG14" cm="1">
        <f t="array" ref="FG14">_xlfn.IFS(FG13="LOW RISK",1,FG13="MODERATE RISK",2,FG13="HIGH RISK",3)</f>
        <v>3</v>
      </c>
      <c r="FH14" cm="1">
        <f t="array" ref="FH14">_xlfn.IFS(FH13="LOW RISK",1,FH13="MODERATE RISK",2,FH13="HIGH RISK",3)</f>
        <v>3</v>
      </c>
      <c r="FI14" cm="1">
        <f t="array" ref="FI14">_xlfn.IFS(FI13="LOW RISK",1,FI13="MODERATE RISK",2,FI13="HIGH RISK",3)</f>
        <v>3</v>
      </c>
      <c r="FJ14" cm="1">
        <f t="array" ref="FJ14">_xlfn.IFS(FJ13="LOW RISK",1,FJ13="MODERATE RISK",2,FJ13="HIGH RISK",3)</f>
        <v>1</v>
      </c>
      <c r="FK14" cm="1">
        <f t="array" ref="FK14">_xlfn.IFS(FK13="LOW RISK",1,FK13="MODERATE RISK",2,FK13="HIGH RISK",3)</f>
        <v>1</v>
      </c>
      <c r="FL14" cm="1">
        <f t="array" ref="FL14">_xlfn.IFS(FL13="LOW RISK",1,FL13="MODERATE RISK",2,FL13="HIGH RISK",3)</f>
        <v>2</v>
      </c>
      <c r="FM14" cm="1">
        <f t="array" ref="FM14">_xlfn.IFS(FM13="LOW RISK",1,FM13="MODERATE RISK",2,FM13="HIGH RISK",3)</f>
        <v>1</v>
      </c>
      <c r="FN14" cm="1">
        <f t="array" ref="FN14">_xlfn.IFS(FN13="LOW RISK",1,FN13="MODERATE RISK",2,FN13="HIGH RISK",3)</f>
        <v>1</v>
      </c>
      <c r="FO14" cm="1">
        <f t="array" ref="FO14">_xlfn.IFS(FO13="LOW RISK",1,FO13="MODERATE RISK",2,FO13="HIGH RISK",3)</f>
        <v>2</v>
      </c>
      <c r="FP14" cm="1">
        <f t="array" ref="FP14">_xlfn.IFS(FP13="LOW RISK",1,FP13="MODERATE RISK",2,FP13="HIGH RISK",3)</f>
        <v>3</v>
      </c>
      <c r="FQ14" cm="1">
        <f t="array" ref="FQ14">_xlfn.IFS(FQ13="LOW RISK",1,FQ13="MODERATE RISK",2,FQ13="HIGH RISK",3)</f>
        <v>2</v>
      </c>
      <c r="FR14" cm="1">
        <f t="array" ref="FR14">_xlfn.IFS(FR13="LOW RISK",1,FR13="MODERATE RISK",2,FR13="HIGH RISK",3)</f>
        <v>2</v>
      </c>
      <c r="FS14" cm="1">
        <f t="array" ref="FS14">_xlfn.IFS(FS13="LOW RISK",1,FS13="MODERATE RISK",2,FS13="HIGH RISK",3)</f>
        <v>2</v>
      </c>
      <c r="FT14" cm="1">
        <f t="array" ref="FT14">_xlfn.IFS(FT13="LOW RISK",1,FT13="MODERATE RISK",2,FT13="HIGH RISK",3)</f>
        <v>1</v>
      </c>
      <c r="FU14" cm="1">
        <f t="array" ref="FU14">_xlfn.IFS(FU13="LOW RISK",1,FU13="MODERATE RISK",2,FU13="HIGH RISK",3)</f>
        <v>2</v>
      </c>
      <c r="FV14" cm="1">
        <f t="array" ref="FV14">_xlfn.IFS(FV13="LOW RISK",1,FV13="MODERATE RISK",2,FV13="HIGH RISK",3)</f>
        <v>1</v>
      </c>
      <c r="FW14" cm="1">
        <f t="array" ref="FW14">_xlfn.IFS(FW13="LOW RISK",1,FW13="MODERATE RISK",2,FW13="HIGH RISK",3)</f>
        <v>3</v>
      </c>
      <c r="FX14" cm="1">
        <f t="array" ref="FX14">_xlfn.IFS(FX13="LOW RISK",1,FX13="MODERATE RISK",2,FX13="HIGH RISK",3)</f>
        <v>2</v>
      </c>
      <c r="FY14" cm="1">
        <f t="array" ref="FY14">_xlfn.IFS(FY13="LOW RISK",1,FY13="MODERATE RISK",2,FY13="HIGH RISK",3)</f>
        <v>1</v>
      </c>
      <c r="FZ14" cm="1">
        <f t="array" ref="FZ14">_xlfn.IFS(FZ13="LOW RISK",1,FZ13="MODERATE RISK",2,FZ13="HIGH RISK",3)</f>
        <v>1</v>
      </c>
      <c r="GA14" cm="1">
        <f t="array" ref="GA14">_xlfn.IFS(GA13="LOW RISK",1,GA13="MODERATE RISK",2,GA13="HIGH RISK",3)</f>
        <v>1</v>
      </c>
      <c r="GB14" cm="1">
        <f t="array" ref="GB14">_xlfn.IFS(GB13="LOW RISK",1,GB13="MODERATE RISK",2,GB13="HIGH RISK",3)</f>
        <v>1</v>
      </c>
      <c r="GC14" cm="1">
        <f t="array" ref="GC14">_xlfn.IFS(GC13="LOW RISK",1,GC13="MODERATE RISK",2,GC13="HIGH RISK",3)</f>
        <v>3</v>
      </c>
      <c r="GD14" cm="1">
        <f t="array" ref="GD14">_xlfn.IFS(GD13="LOW RISK",1,GD13="MODERATE RISK",2,GD13="HIGH RISK",3)</f>
        <v>3</v>
      </c>
      <c r="GE14" cm="1">
        <f t="array" ref="GE14">_xlfn.IFS(GE13="LOW RISK",1,GE13="MODERATE RISK",2,GE13="HIGH RISK",3)</f>
        <v>2</v>
      </c>
      <c r="GF14" cm="1">
        <f t="array" ref="GF14">_xlfn.IFS(GF13="LOW RISK",1,GF13="MODERATE RISK",2,GF13="HIGH RISK",3)</f>
        <v>1</v>
      </c>
    </row>
    <row r="17" spans="2:2" x14ac:dyDescent="0.3">
      <c r="B17" t="s">
        <v>55</v>
      </c>
    </row>
    <row r="18" spans="2:2" x14ac:dyDescent="0.3">
      <c r="B18" t="str">
        <f>HLOOKUP(B17,$A$1:$GF$14,7,0)</f>
        <v>Europe</v>
      </c>
    </row>
  </sheetData>
  <conditionalFormatting sqref="B9:GF9">
    <cfRule type="cellIs" dxfId="6" priority="6" operator="greaterThan">
      <formula>0.05</formula>
    </cfRule>
  </conditionalFormatting>
  <conditionalFormatting sqref="B10:GF1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:GF11">
    <cfRule type="iconSet" priority="2">
      <iconSet iconSet="3Arrows">
        <cfvo type="percent" val="0"/>
        <cfvo type="percent" val="33"/>
        <cfvo type="percent" val="67"/>
      </iconSet>
    </cfRule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{B7691A19-D55D-414C-9501-B2B8ED0665B7}</x14:id>
        </ext>
      </extLst>
    </cfRule>
  </conditionalFormatting>
  <conditionalFormatting sqref="B12:GF1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4:GF14">
    <cfRule type="iconSet" priority="1">
      <iconSet iconSet="3Arrows" showValue="0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17" xr:uid="{C85D39EC-43AE-4DB1-B6E5-61C48BAFD20F}">
      <formula1>$A$1:$GF$1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691A19-D55D-414C-9501-B2B8ED066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B11:GF11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C4333-8295-44F6-9EE8-51F4A2C13775}">
  <dimension ref="A1:Q209"/>
  <sheetViews>
    <sheetView tabSelected="1" workbookViewId="0">
      <selection activeCell="C14" sqref="C14"/>
    </sheetView>
  </sheetViews>
  <sheetFormatPr defaultRowHeight="14.4" x14ac:dyDescent="0.3"/>
  <cols>
    <col min="1" max="1" width="16" bestFit="1" customWidth="1"/>
    <col min="2" max="2" width="17.88671875" bestFit="1" customWidth="1"/>
    <col min="3" max="3" width="27" bestFit="1" customWidth="1"/>
    <col min="4" max="4" width="20.6640625" bestFit="1" customWidth="1"/>
    <col min="5" max="5" width="26" bestFit="1" customWidth="1"/>
    <col min="6" max="6" width="14" bestFit="1" customWidth="1"/>
    <col min="7" max="7" width="10.33203125" bestFit="1" customWidth="1"/>
    <col min="8" max="8" width="13.33203125" bestFit="1" customWidth="1"/>
    <col min="9" max="9" width="14.109375" bestFit="1" customWidth="1"/>
    <col min="10" max="10" width="10.44140625" bestFit="1" customWidth="1"/>
    <col min="11" max="11" width="8.6640625" bestFit="1" customWidth="1"/>
    <col min="12" max="12" width="12.88671875" bestFit="1" customWidth="1"/>
  </cols>
  <sheetData>
    <row r="1" spans="1:17" s="10" customFormat="1" ht="21" x14ac:dyDescent="0.3">
      <c r="A1" s="9" t="s">
        <v>231</v>
      </c>
    </row>
    <row r="2" spans="1:17" ht="18" thickBot="1" x14ac:dyDescent="0.35">
      <c r="A2" s="5" t="s">
        <v>232</v>
      </c>
      <c r="B2" s="6" t="s">
        <v>233</v>
      </c>
      <c r="C2" s="5" t="s">
        <v>234</v>
      </c>
      <c r="D2" s="5" t="s">
        <v>235</v>
      </c>
      <c r="E2" s="7" t="s">
        <v>236</v>
      </c>
      <c r="F2" s="8" t="s">
        <v>237</v>
      </c>
      <c r="G2" s="5" t="s">
        <v>238</v>
      </c>
      <c r="H2" s="5" t="s">
        <v>239</v>
      </c>
      <c r="I2" s="11" t="s">
        <v>240</v>
      </c>
    </row>
    <row r="3" spans="1:17" ht="15.6" thickTop="1" x14ac:dyDescent="0.3">
      <c r="A3" s="1">
        <v>102</v>
      </c>
      <c r="B3" s="2">
        <v>45571</v>
      </c>
      <c r="C3" s="1" t="s">
        <v>241</v>
      </c>
      <c r="D3" s="1" t="s">
        <v>242</v>
      </c>
      <c r="E3" s="4">
        <v>15</v>
      </c>
      <c r="F3" s="3">
        <v>20</v>
      </c>
      <c r="G3" s="1" t="s">
        <v>243</v>
      </c>
      <c r="H3" s="1" t="s">
        <v>244</v>
      </c>
      <c r="I3" s="12">
        <f>E3*F3</f>
        <v>300</v>
      </c>
    </row>
    <row r="4" spans="1:17" ht="15" x14ac:dyDescent="0.3">
      <c r="A4" s="1">
        <v>105</v>
      </c>
      <c r="B4" s="2">
        <v>45572</v>
      </c>
      <c r="C4" s="1" t="s">
        <v>245</v>
      </c>
      <c r="D4" s="1" t="s">
        <v>246</v>
      </c>
      <c r="E4" s="4">
        <v>30</v>
      </c>
      <c r="F4" s="3">
        <v>10</v>
      </c>
      <c r="G4" s="1" t="s">
        <v>247</v>
      </c>
      <c r="H4" s="1" t="s">
        <v>248</v>
      </c>
      <c r="I4" s="12">
        <f t="shared" ref="I4:I7" si="0">E4*F4</f>
        <v>300</v>
      </c>
    </row>
    <row r="5" spans="1:17" ht="15" x14ac:dyDescent="0.3">
      <c r="A5" s="1">
        <v>103</v>
      </c>
      <c r="B5" s="2">
        <v>45571</v>
      </c>
      <c r="C5" s="1" t="s">
        <v>249</v>
      </c>
      <c r="D5" s="1" t="s">
        <v>242</v>
      </c>
      <c r="E5" s="4">
        <v>10</v>
      </c>
      <c r="F5" s="3">
        <v>40</v>
      </c>
      <c r="G5" s="1" t="s">
        <v>250</v>
      </c>
      <c r="H5" s="1" t="s">
        <v>251</v>
      </c>
      <c r="I5" s="12">
        <f t="shared" si="0"/>
        <v>400</v>
      </c>
    </row>
    <row r="6" spans="1:17" ht="15" x14ac:dyDescent="0.3">
      <c r="A6" s="1">
        <v>104</v>
      </c>
      <c r="B6" s="2">
        <v>45572</v>
      </c>
      <c r="C6" s="1" t="s">
        <v>252</v>
      </c>
      <c r="D6" s="1" t="s">
        <v>246</v>
      </c>
      <c r="E6" s="4">
        <v>25</v>
      </c>
      <c r="F6" s="3">
        <v>15</v>
      </c>
      <c r="G6" s="1" t="s">
        <v>253</v>
      </c>
      <c r="H6" s="1" t="s">
        <v>254</v>
      </c>
      <c r="I6" s="12">
        <f t="shared" si="0"/>
        <v>375</v>
      </c>
    </row>
    <row r="7" spans="1:17" ht="15" x14ac:dyDescent="0.3">
      <c r="A7" s="1">
        <v>101</v>
      </c>
      <c r="B7" s="2">
        <v>45570</v>
      </c>
      <c r="C7" s="1" t="s">
        <v>255</v>
      </c>
      <c r="D7" s="1" t="s">
        <v>242</v>
      </c>
      <c r="E7" s="4">
        <v>20</v>
      </c>
      <c r="F7" s="3">
        <v>25</v>
      </c>
      <c r="G7" s="1" t="s">
        <v>247</v>
      </c>
      <c r="H7" s="1" t="s">
        <v>256</v>
      </c>
      <c r="I7" s="12">
        <f t="shared" si="0"/>
        <v>500</v>
      </c>
    </row>
    <row r="9" spans="1:17" x14ac:dyDescent="0.3">
      <c r="B9" t="s">
        <v>257</v>
      </c>
    </row>
    <row r="10" spans="1:17" x14ac:dyDescent="0.3">
      <c r="B10" t="s">
        <v>258</v>
      </c>
    </row>
    <row r="11" spans="1:17" x14ac:dyDescent="0.3">
      <c r="B11" t="s">
        <v>259</v>
      </c>
    </row>
    <row r="12" spans="1:17" x14ac:dyDescent="0.3">
      <c r="B12" t="s">
        <v>260</v>
      </c>
    </row>
    <row r="13" spans="1:17" x14ac:dyDescent="0.3">
      <c r="B13" t="s">
        <v>261</v>
      </c>
    </row>
    <row r="15" spans="1:17" s="13" customFormat="1" ht="34.200000000000003" customHeight="1" x14ac:dyDescent="0.3">
      <c r="A15" s="74" t="s">
        <v>262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</row>
    <row r="16" spans="1:17" ht="18" x14ac:dyDescent="0.3">
      <c r="A16" s="14" t="s">
        <v>263</v>
      </c>
    </row>
    <row r="17" spans="1:9" ht="15.6" x14ac:dyDescent="0.3">
      <c r="A17" s="22" t="s">
        <v>264</v>
      </c>
      <c r="B17" s="23"/>
      <c r="C17" s="23"/>
      <c r="D17" s="23"/>
      <c r="E17" s="23"/>
      <c r="F17" s="23"/>
      <c r="G17" s="23"/>
      <c r="H17" s="23"/>
    </row>
    <row r="18" spans="1:9" ht="15.6" x14ac:dyDescent="0.3">
      <c r="A18" s="16" t="s">
        <v>265</v>
      </c>
    </row>
    <row r="19" spans="1:9" ht="15.6" x14ac:dyDescent="0.3">
      <c r="A19" s="15" t="s">
        <v>266</v>
      </c>
    </row>
    <row r="22" spans="1:9" ht="17.399999999999999" x14ac:dyDescent="0.3">
      <c r="A22" s="26" t="s">
        <v>232</v>
      </c>
      <c r="B22" s="27" t="s">
        <v>233</v>
      </c>
      <c r="C22" s="28" t="s">
        <v>234</v>
      </c>
      <c r="D22" s="28" t="s">
        <v>235</v>
      </c>
      <c r="E22" s="29" t="s">
        <v>236</v>
      </c>
      <c r="F22" s="30" t="s">
        <v>237</v>
      </c>
      <c r="G22" s="28" t="s">
        <v>238</v>
      </c>
      <c r="H22" s="28" t="s">
        <v>239</v>
      </c>
      <c r="I22" s="31" t="s">
        <v>240</v>
      </c>
    </row>
    <row r="23" spans="1:9" ht="15" x14ac:dyDescent="0.3">
      <c r="A23" s="24">
        <v>102</v>
      </c>
      <c r="B23" s="18">
        <v>45571</v>
      </c>
      <c r="C23" s="17" t="s">
        <v>241</v>
      </c>
      <c r="D23" s="17" t="s">
        <v>242</v>
      </c>
      <c r="E23" s="19">
        <v>15</v>
      </c>
      <c r="F23" s="20">
        <v>20</v>
      </c>
      <c r="G23" s="17" t="s">
        <v>243</v>
      </c>
      <c r="H23" s="17" t="s">
        <v>244</v>
      </c>
      <c r="I23" s="25">
        <f>E23*F23</f>
        <v>300</v>
      </c>
    </row>
    <row r="24" spans="1:9" ht="15" x14ac:dyDescent="0.3">
      <c r="A24" s="24">
        <v>105</v>
      </c>
      <c r="B24" s="18">
        <v>45572</v>
      </c>
      <c r="C24" s="17" t="s">
        <v>245</v>
      </c>
      <c r="D24" s="17" t="s">
        <v>246</v>
      </c>
      <c r="E24" s="19">
        <v>30</v>
      </c>
      <c r="F24" s="20">
        <v>10</v>
      </c>
      <c r="G24" s="17" t="s">
        <v>247</v>
      </c>
      <c r="H24" s="17" t="s">
        <v>248</v>
      </c>
      <c r="I24" s="25">
        <f>E24*F24</f>
        <v>300</v>
      </c>
    </row>
    <row r="25" spans="1:9" ht="15" x14ac:dyDescent="0.3">
      <c r="A25" s="24">
        <v>104</v>
      </c>
      <c r="B25" s="18">
        <v>45572</v>
      </c>
      <c r="C25" s="17" t="s">
        <v>252</v>
      </c>
      <c r="D25" s="17" t="s">
        <v>246</v>
      </c>
      <c r="E25" s="19">
        <v>25</v>
      </c>
      <c r="F25" s="20">
        <v>15</v>
      </c>
      <c r="G25" s="17" t="s">
        <v>253</v>
      </c>
      <c r="H25" s="17" t="s">
        <v>254</v>
      </c>
      <c r="I25" s="25">
        <f>E25*F25</f>
        <v>375</v>
      </c>
    </row>
    <row r="26" spans="1:9" ht="15" x14ac:dyDescent="0.3">
      <c r="A26" s="24">
        <v>103</v>
      </c>
      <c r="B26" s="18">
        <v>45571</v>
      </c>
      <c r="C26" s="17" t="s">
        <v>249</v>
      </c>
      <c r="D26" s="17" t="s">
        <v>242</v>
      </c>
      <c r="E26" s="19">
        <v>10</v>
      </c>
      <c r="F26" s="20">
        <v>40</v>
      </c>
      <c r="G26" s="17" t="s">
        <v>250</v>
      </c>
      <c r="H26" s="17" t="s">
        <v>251</v>
      </c>
      <c r="I26" s="25">
        <f>E26*F26</f>
        <v>400</v>
      </c>
    </row>
    <row r="27" spans="1:9" ht="15" x14ac:dyDescent="0.3">
      <c r="A27" s="32">
        <v>101</v>
      </c>
      <c r="B27" s="33">
        <v>45570</v>
      </c>
      <c r="C27" s="34" t="s">
        <v>255</v>
      </c>
      <c r="D27" s="34" t="s">
        <v>242</v>
      </c>
      <c r="E27" s="35">
        <v>20</v>
      </c>
      <c r="F27" s="36">
        <v>25</v>
      </c>
      <c r="G27" s="34" t="s">
        <v>247</v>
      </c>
      <c r="H27" s="34" t="s">
        <v>256</v>
      </c>
      <c r="I27" s="37">
        <f>E27*F27</f>
        <v>500</v>
      </c>
    </row>
    <row r="28" spans="1:9" x14ac:dyDescent="0.3">
      <c r="E28" s="21">
        <f>AVERAGE(E23:E27)</f>
        <v>20</v>
      </c>
    </row>
    <row r="31" spans="1:9" s="13" customFormat="1" ht="28.95" customHeight="1" x14ac:dyDescent="0.3">
      <c r="A31" s="39" t="s">
        <v>267</v>
      </c>
    </row>
    <row r="32" spans="1:9" ht="21" x14ac:dyDescent="0.3">
      <c r="A32" s="38"/>
    </row>
    <row r="33" spans="1:11" ht="18" x14ac:dyDescent="0.3">
      <c r="A33" s="14" t="s">
        <v>263</v>
      </c>
    </row>
    <row r="34" spans="1:11" ht="15.6" x14ac:dyDescent="0.3">
      <c r="A34" s="16" t="s">
        <v>268</v>
      </c>
    </row>
    <row r="35" spans="1:11" ht="15.6" x14ac:dyDescent="0.3">
      <c r="A35" s="16" t="s">
        <v>269</v>
      </c>
    </row>
    <row r="36" spans="1:11" ht="15.6" x14ac:dyDescent="0.3">
      <c r="A36" s="15" t="s">
        <v>270</v>
      </c>
    </row>
    <row r="38" spans="1:11" ht="18" thickBot="1" x14ac:dyDescent="0.35">
      <c r="A38" s="5" t="s">
        <v>271</v>
      </c>
      <c r="B38" s="6" t="s">
        <v>233</v>
      </c>
      <c r="C38" s="5" t="s">
        <v>234</v>
      </c>
      <c r="D38" s="5" t="s">
        <v>235</v>
      </c>
      <c r="E38" s="7" t="s">
        <v>236</v>
      </c>
      <c r="F38" s="8" t="s">
        <v>237</v>
      </c>
      <c r="G38" s="5" t="s">
        <v>238</v>
      </c>
      <c r="H38" s="5" t="s">
        <v>239</v>
      </c>
      <c r="I38" s="11" t="s">
        <v>240</v>
      </c>
      <c r="J38" t="s">
        <v>272</v>
      </c>
      <c r="K38" t="s">
        <v>273</v>
      </c>
    </row>
    <row r="39" spans="1:11" ht="15.6" thickTop="1" x14ac:dyDescent="0.3">
      <c r="A39" s="1">
        <v>102</v>
      </c>
      <c r="B39" s="40">
        <v>45571</v>
      </c>
      <c r="C39" s="1" t="s">
        <v>241</v>
      </c>
      <c r="D39" s="1" t="s">
        <v>242</v>
      </c>
      <c r="E39" s="4">
        <v>15</v>
      </c>
      <c r="F39" s="3">
        <v>20</v>
      </c>
      <c r="G39" s="1" t="s">
        <v>243</v>
      </c>
      <c r="H39" s="1" t="s">
        <v>244</v>
      </c>
      <c r="I39" s="12">
        <f>E39*F39</f>
        <v>300</v>
      </c>
      <c r="J39" t="str">
        <f>IF(I39&gt;=350," TRUE","FALSE")</f>
        <v>FALSE</v>
      </c>
      <c r="K39" t="str">
        <f>UPPER(C39)</f>
        <v>SAMOSA</v>
      </c>
    </row>
    <row r="40" spans="1:11" ht="15" x14ac:dyDescent="0.3">
      <c r="A40" s="1">
        <v>105</v>
      </c>
      <c r="B40" s="40">
        <v>45572</v>
      </c>
      <c r="C40" s="1" t="s">
        <v>245</v>
      </c>
      <c r="D40" s="1" t="s">
        <v>246</v>
      </c>
      <c r="E40" s="4">
        <v>30</v>
      </c>
      <c r="F40" s="3">
        <v>10</v>
      </c>
      <c r="G40" s="1" t="s">
        <v>247</v>
      </c>
      <c r="H40" s="1" t="s">
        <v>248</v>
      </c>
      <c r="I40" s="12">
        <f t="shared" ref="I40:I43" si="1">E40*F40</f>
        <v>300</v>
      </c>
      <c r="J40" t="str">
        <f t="shared" ref="J40:J43" si="2">IF(I40&gt;=350," TRUE","FALSE")</f>
        <v>FALSE</v>
      </c>
      <c r="K40" t="str">
        <f t="shared" ref="K40:K43" si="3">UPPER(C40)</f>
        <v>TEA</v>
      </c>
    </row>
    <row r="41" spans="1:11" ht="15" x14ac:dyDescent="0.3">
      <c r="A41" s="1">
        <v>103</v>
      </c>
      <c r="B41" s="40">
        <v>45571</v>
      </c>
      <c r="C41" s="1" t="s">
        <v>249</v>
      </c>
      <c r="D41" s="1" t="s">
        <v>242</v>
      </c>
      <c r="E41" s="4">
        <v>10</v>
      </c>
      <c r="F41" s="3">
        <v>40</v>
      </c>
      <c r="G41" s="1" t="s">
        <v>250</v>
      </c>
      <c r="H41" s="1" t="s">
        <v>251</v>
      </c>
      <c r="I41" s="12">
        <f t="shared" si="1"/>
        <v>400</v>
      </c>
      <c r="J41" t="str">
        <f t="shared" si="2"/>
        <v xml:space="preserve"> TRUE</v>
      </c>
      <c r="K41" t="str">
        <f t="shared" si="3"/>
        <v>SANDWICH</v>
      </c>
    </row>
    <row r="42" spans="1:11" ht="15" x14ac:dyDescent="0.3">
      <c r="A42" s="1">
        <v>104</v>
      </c>
      <c r="B42" s="2">
        <v>45572</v>
      </c>
      <c r="C42" s="1" t="s">
        <v>252</v>
      </c>
      <c r="D42" s="1" t="s">
        <v>246</v>
      </c>
      <c r="E42" s="4">
        <v>25</v>
      </c>
      <c r="F42" s="3">
        <v>15</v>
      </c>
      <c r="G42" s="1" t="s">
        <v>253</v>
      </c>
      <c r="H42" s="1" t="s">
        <v>254</v>
      </c>
      <c r="I42" s="12">
        <f t="shared" si="1"/>
        <v>375</v>
      </c>
      <c r="J42" t="str">
        <f t="shared" si="2"/>
        <v xml:space="preserve"> TRUE</v>
      </c>
      <c r="K42" t="str">
        <f t="shared" si="3"/>
        <v>COFFEE</v>
      </c>
    </row>
    <row r="43" spans="1:11" ht="15" x14ac:dyDescent="0.3">
      <c r="A43" s="1">
        <v>101</v>
      </c>
      <c r="B43" s="2">
        <v>45570</v>
      </c>
      <c r="C43" s="1" t="s">
        <v>255</v>
      </c>
      <c r="D43" s="1" t="s">
        <v>242</v>
      </c>
      <c r="E43" s="4">
        <v>20</v>
      </c>
      <c r="F43" s="3">
        <v>25</v>
      </c>
      <c r="G43" s="1" t="s">
        <v>247</v>
      </c>
      <c r="H43" s="1" t="s">
        <v>256</v>
      </c>
      <c r="I43" s="12">
        <f t="shared" si="1"/>
        <v>500</v>
      </c>
      <c r="J43" t="str">
        <f t="shared" si="2"/>
        <v xml:space="preserve"> TRUE</v>
      </c>
      <c r="K43" t="str">
        <f t="shared" si="3"/>
        <v>VADA PAV</v>
      </c>
    </row>
    <row r="47" spans="1:11" s="41" customFormat="1" ht="25.2" customHeight="1" x14ac:dyDescent="0.3">
      <c r="A47" s="39" t="s">
        <v>274</v>
      </c>
      <c r="B47" s="13"/>
      <c r="C47" s="13"/>
      <c r="D47" s="13"/>
      <c r="E47" s="13"/>
    </row>
    <row r="49" spans="1:9" ht="18" x14ac:dyDescent="0.3">
      <c r="A49" s="14" t="s">
        <v>263</v>
      </c>
    </row>
    <row r="50" spans="1:9" ht="15.6" x14ac:dyDescent="0.3">
      <c r="A50" s="16" t="s">
        <v>275</v>
      </c>
    </row>
    <row r="51" spans="1:9" ht="15.6" x14ac:dyDescent="0.3">
      <c r="A51" s="16" t="s">
        <v>276</v>
      </c>
    </row>
    <row r="52" spans="1:9" ht="15.6" x14ac:dyDescent="0.3">
      <c r="A52" s="16" t="s">
        <v>277</v>
      </c>
    </row>
    <row r="53" spans="1:9" ht="15.6" x14ac:dyDescent="0.3">
      <c r="A53" s="16" t="s">
        <v>278</v>
      </c>
    </row>
    <row r="55" spans="1:9" ht="18" thickBot="1" x14ac:dyDescent="0.35">
      <c r="A55" s="5" t="s">
        <v>232</v>
      </c>
      <c r="B55" s="6" t="s">
        <v>233</v>
      </c>
      <c r="C55" s="5" t="s">
        <v>234</v>
      </c>
      <c r="D55" s="5" t="s">
        <v>235</v>
      </c>
      <c r="E55" s="7" t="s">
        <v>236</v>
      </c>
      <c r="F55" s="8" t="s">
        <v>237</v>
      </c>
      <c r="G55" s="5" t="s">
        <v>238</v>
      </c>
      <c r="H55" s="5" t="s">
        <v>239</v>
      </c>
      <c r="I55" s="11" t="s">
        <v>240</v>
      </c>
    </row>
    <row r="56" spans="1:9" ht="15.6" thickTop="1" x14ac:dyDescent="0.3">
      <c r="A56" s="1">
        <v>102</v>
      </c>
      <c r="B56" s="2">
        <v>45571</v>
      </c>
      <c r="C56" s="1" t="s">
        <v>241</v>
      </c>
      <c r="D56" s="1" t="s">
        <v>242</v>
      </c>
      <c r="E56" s="42">
        <v>15000</v>
      </c>
      <c r="F56" s="3">
        <v>20</v>
      </c>
      <c r="G56" s="1" t="s">
        <v>243</v>
      </c>
      <c r="H56" s="1" t="s">
        <v>244</v>
      </c>
      <c r="I56" s="43">
        <f>E56*F56</f>
        <v>300000</v>
      </c>
    </row>
    <row r="57" spans="1:9" ht="15" x14ac:dyDescent="0.3">
      <c r="A57" s="1">
        <v>105</v>
      </c>
      <c r="B57" s="2">
        <v>45572</v>
      </c>
      <c r="C57" s="1" t="s">
        <v>245</v>
      </c>
      <c r="D57" s="1" t="s">
        <v>246</v>
      </c>
      <c r="E57" s="42">
        <v>20000</v>
      </c>
      <c r="F57" s="3">
        <v>10</v>
      </c>
      <c r="G57" s="1" t="s">
        <v>247</v>
      </c>
      <c r="H57" s="1" t="s">
        <v>248</v>
      </c>
      <c r="I57" s="43">
        <f t="shared" ref="I57:I60" si="4">E57*F57</f>
        <v>200000</v>
      </c>
    </row>
    <row r="58" spans="1:9" ht="15" x14ac:dyDescent="0.3">
      <c r="A58" s="1">
        <v>103</v>
      </c>
      <c r="B58" s="2">
        <v>45571</v>
      </c>
      <c r="C58" s="1" t="s">
        <v>249</v>
      </c>
      <c r="D58" s="1" t="s">
        <v>242</v>
      </c>
      <c r="E58" s="42">
        <v>10000</v>
      </c>
      <c r="F58" s="3">
        <v>40</v>
      </c>
      <c r="G58" s="1" t="s">
        <v>250</v>
      </c>
      <c r="H58" s="1" t="s">
        <v>251</v>
      </c>
      <c r="I58" s="43">
        <f t="shared" si="4"/>
        <v>400000</v>
      </c>
    </row>
    <row r="59" spans="1:9" ht="15" x14ac:dyDescent="0.3">
      <c r="A59" s="1">
        <v>104</v>
      </c>
      <c r="B59" s="2">
        <v>45572</v>
      </c>
      <c r="C59" s="1" t="s">
        <v>252</v>
      </c>
      <c r="D59" s="1" t="s">
        <v>246</v>
      </c>
      <c r="E59" s="42">
        <v>25000</v>
      </c>
      <c r="F59" s="3">
        <v>15</v>
      </c>
      <c r="G59" s="1" t="s">
        <v>253</v>
      </c>
      <c r="H59" s="1" t="s">
        <v>254</v>
      </c>
      <c r="I59" s="43">
        <f t="shared" si="4"/>
        <v>375000</v>
      </c>
    </row>
    <row r="60" spans="1:9" ht="15" x14ac:dyDescent="0.3">
      <c r="A60" s="1">
        <v>101</v>
      </c>
      <c r="B60" s="2">
        <v>45570</v>
      </c>
      <c r="C60" s="1" t="s">
        <v>255</v>
      </c>
      <c r="D60" s="1" t="s">
        <v>242</v>
      </c>
      <c r="E60" s="42">
        <v>20000</v>
      </c>
      <c r="F60" s="3">
        <v>25</v>
      </c>
      <c r="G60" s="1" t="s">
        <v>247</v>
      </c>
      <c r="H60" s="1" t="s">
        <v>256</v>
      </c>
      <c r="I60" s="43">
        <f t="shared" si="4"/>
        <v>500000</v>
      </c>
    </row>
    <row r="63" spans="1:9" s="13" customFormat="1" ht="28.95" customHeight="1" x14ac:dyDescent="0.3">
      <c r="A63" s="39" t="s">
        <v>279</v>
      </c>
    </row>
    <row r="64" spans="1:9" ht="18" x14ac:dyDescent="0.3">
      <c r="A64" s="14" t="s">
        <v>263</v>
      </c>
    </row>
    <row r="65" spans="1:9" ht="15.6" x14ac:dyDescent="0.3">
      <c r="A65" s="16" t="s">
        <v>280</v>
      </c>
    </row>
    <row r="66" spans="1:9" ht="15.6" x14ac:dyDescent="0.3">
      <c r="A66" s="16" t="s">
        <v>281</v>
      </c>
    </row>
    <row r="67" spans="1:9" ht="15.6" x14ac:dyDescent="0.3">
      <c r="A67" s="16" t="s">
        <v>282</v>
      </c>
    </row>
    <row r="70" spans="1:9" ht="18" thickBot="1" x14ac:dyDescent="0.35">
      <c r="A70" s="5" t="s">
        <v>232</v>
      </c>
      <c r="B70" s="6" t="s">
        <v>233</v>
      </c>
      <c r="C70" s="5" t="s">
        <v>234</v>
      </c>
      <c r="D70" s="5" t="s">
        <v>235</v>
      </c>
      <c r="E70" s="7" t="s">
        <v>236</v>
      </c>
      <c r="F70" s="8" t="s">
        <v>237</v>
      </c>
      <c r="G70" s="5" t="s">
        <v>238</v>
      </c>
      <c r="H70" s="5" t="s">
        <v>239</v>
      </c>
      <c r="I70" s="11" t="s">
        <v>240</v>
      </c>
    </row>
    <row r="71" spans="1:9" ht="15.6" thickTop="1" x14ac:dyDescent="0.3">
      <c r="A71" s="1">
        <v>104</v>
      </c>
      <c r="B71" s="2">
        <v>45572</v>
      </c>
      <c r="C71" s="1" t="s">
        <v>252</v>
      </c>
      <c r="D71" s="1" t="s">
        <v>246</v>
      </c>
      <c r="E71" s="4">
        <v>25</v>
      </c>
      <c r="F71" s="3">
        <v>15</v>
      </c>
      <c r="G71" s="1" t="s">
        <v>253</v>
      </c>
      <c r="H71" s="1" t="s">
        <v>254</v>
      </c>
      <c r="I71" s="12">
        <f>E71*F71</f>
        <v>375</v>
      </c>
    </row>
    <row r="72" spans="1:9" ht="15" x14ac:dyDescent="0.3">
      <c r="A72" s="1">
        <v>102</v>
      </c>
      <c r="B72" s="2">
        <v>45571</v>
      </c>
      <c r="C72" s="1" t="s">
        <v>241</v>
      </c>
      <c r="D72" s="1" t="s">
        <v>242</v>
      </c>
      <c r="E72" s="4">
        <v>15</v>
      </c>
      <c r="F72" s="3">
        <v>20</v>
      </c>
      <c r="G72" s="1" t="s">
        <v>243</v>
      </c>
      <c r="H72" s="1" t="s">
        <v>244</v>
      </c>
      <c r="I72" s="12">
        <f>E72*F72</f>
        <v>300</v>
      </c>
    </row>
    <row r="73" spans="1:9" ht="15" x14ac:dyDescent="0.3">
      <c r="A73" s="1">
        <v>103</v>
      </c>
      <c r="B73" s="2">
        <v>45571</v>
      </c>
      <c r="C73" s="1" t="s">
        <v>249</v>
      </c>
      <c r="D73" s="1" t="s">
        <v>242</v>
      </c>
      <c r="E73" s="4">
        <v>10</v>
      </c>
      <c r="F73" s="3">
        <v>40</v>
      </c>
      <c r="G73" s="1" t="s">
        <v>250</v>
      </c>
      <c r="H73" s="1" t="s">
        <v>251</v>
      </c>
      <c r="I73" s="12">
        <f>E73*F73</f>
        <v>400</v>
      </c>
    </row>
    <row r="74" spans="1:9" ht="15" x14ac:dyDescent="0.3">
      <c r="A74" s="1">
        <v>105</v>
      </c>
      <c r="B74" s="2">
        <v>45572</v>
      </c>
      <c r="C74" s="1" t="s">
        <v>245</v>
      </c>
      <c r="D74" s="1" t="s">
        <v>246</v>
      </c>
      <c r="E74" s="4">
        <v>30</v>
      </c>
      <c r="F74" s="3">
        <v>10</v>
      </c>
      <c r="G74" s="1" t="s">
        <v>247</v>
      </c>
      <c r="H74" s="1" t="s">
        <v>248</v>
      </c>
      <c r="I74" s="12">
        <f>E74*F74</f>
        <v>300</v>
      </c>
    </row>
    <row r="75" spans="1:9" ht="15" x14ac:dyDescent="0.3">
      <c r="A75" s="1">
        <v>101</v>
      </c>
      <c r="B75" s="2">
        <v>45570</v>
      </c>
      <c r="C75" s="1" t="s">
        <v>255</v>
      </c>
      <c r="D75" s="1" t="s">
        <v>242</v>
      </c>
      <c r="E75" s="4">
        <v>20</v>
      </c>
      <c r="F75" s="3">
        <v>25</v>
      </c>
      <c r="G75" s="1" t="s">
        <v>247</v>
      </c>
      <c r="H75" s="1" t="s">
        <v>256</v>
      </c>
      <c r="I75" s="12">
        <f>E75*F75</f>
        <v>500</v>
      </c>
    </row>
    <row r="79" spans="1:9" s="13" customFormat="1" ht="21" x14ac:dyDescent="0.3">
      <c r="A79" s="39" t="s">
        <v>283</v>
      </c>
    </row>
    <row r="80" spans="1:9" ht="18" x14ac:dyDescent="0.3">
      <c r="A80" s="14" t="s">
        <v>263</v>
      </c>
    </row>
    <row r="81" spans="1:12" ht="15.6" x14ac:dyDescent="0.3">
      <c r="A81" s="16" t="s">
        <v>284</v>
      </c>
    </row>
    <row r="82" spans="1:12" ht="15.6" x14ac:dyDescent="0.3">
      <c r="A82" s="16" t="s">
        <v>285</v>
      </c>
    </row>
    <row r="83" spans="1:12" ht="15.6" x14ac:dyDescent="0.3">
      <c r="A83" s="16" t="s">
        <v>286</v>
      </c>
    </row>
    <row r="84" spans="1:12" ht="15.6" x14ac:dyDescent="0.3">
      <c r="A84" s="16" t="s">
        <v>287</v>
      </c>
    </row>
    <row r="85" spans="1:12" ht="15.6" x14ac:dyDescent="0.3">
      <c r="A85" s="16" t="s">
        <v>288</v>
      </c>
    </row>
    <row r="87" spans="1:12" ht="18" thickBot="1" x14ac:dyDescent="0.35">
      <c r="A87" s="5" t="s">
        <v>232</v>
      </c>
      <c r="B87" s="6" t="s">
        <v>233</v>
      </c>
      <c r="C87" s="5" t="s">
        <v>234</v>
      </c>
      <c r="D87" s="5" t="s">
        <v>235</v>
      </c>
      <c r="E87" s="7" t="s">
        <v>236</v>
      </c>
      <c r="F87" s="8" t="s">
        <v>237</v>
      </c>
      <c r="G87" s="5" t="s">
        <v>238</v>
      </c>
      <c r="H87" s="5" t="s">
        <v>239</v>
      </c>
      <c r="I87" s="11" t="s">
        <v>240</v>
      </c>
      <c r="J87" t="s">
        <v>289</v>
      </c>
      <c r="K87" t="s">
        <v>290</v>
      </c>
      <c r="L87" t="s">
        <v>291</v>
      </c>
    </row>
    <row r="88" spans="1:12" ht="15.6" thickTop="1" x14ac:dyDescent="0.3">
      <c r="A88" s="1">
        <v>102</v>
      </c>
      <c r="B88" s="2">
        <v>45571</v>
      </c>
      <c r="C88" s="1" t="s">
        <v>241</v>
      </c>
      <c r="D88" s="1" t="s">
        <v>242</v>
      </c>
      <c r="E88" s="4">
        <v>15</v>
      </c>
      <c r="F88" s="3">
        <v>20</v>
      </c>
      <c r="G88" s="1" t="s">
        <v>243</v>
      </c>
      <c r="H88" s="1" t="s">
        <v>244</v>
      </c>
      <c r="I88" s="12">
        <f>E88*F88</f>
        <v>300</v>
      </c>
      <c r="J88">
        <f>MOD(I88,6)</f>
        <v>0</v>
      </c>
      <c r="K88">
        <f>I88/3</f>
        <v>100</v>
      </c>
      <c r="L88">
        <f>ROUND(K88,2)</f>
        <v>100</v>
      </c>
    </row>
    <row r="89" spans="1:12" ht="15" x14ac:dyDescent="0.3">
      <c r="A89" s="1">
        <v>105</v>
      </c>
      <c r="B89" s="2">
        <v>45572</v>
      </c>
      <c r="C89" s="1" t="s">
        <v>245</v>
      </c>
      <c r="D89" s="1" t="s">
        <v>246</v>
      </c>
      <c r="E89" s="4">
        <v>30</v>
      </c>
      <c r="F89" s="3">
        <v>10</v>
      </c>
      <c r="G89" s="1" t="s">
        <v>247</v>
      </c>
      <c r="H89" s="1" t="s">
        <v>248</v>
      </c>
      <c r="I89" s="12">
        <f t="shared" ref="I89:I92" si="5">E89*F89</f>
        <v>300</v>
      </c>
      <c r="J89">
        <f t="shared" ref="J89:J92" si="6">MOD(I89,6)</f>
        <v>0</v>
      </c>
      <c r="K89">
        <f t="shared" ref="K89:K92" si="7">I89/3</f>
        <v>100</v>
      </c>
      <c r="L89">
        <f t="shared" ref="L89:L92" si="8">ROUND(K89,2)</f>
        <v>100</v>
      </c>
    </row>
    <row r="90" spans="1:12" ht="15" x14ac:dyDescent="0.3">
      <c r="A90" s="1">
        <v>103</v>
      </c>
      <c r="B90" s="2">
        <v>45571</v>
      </c>
      <c r="C90" s="1" t="s">
        <v>249</v>
      </c>
      <c r="D90" s="1" t="s">
        <v>242</v>
      </c>
      <c r="E90" s="4">
        <v>10</v>
      </c>
      <c r="F90" s="3">
        <v>40</v>
      </c>
      <c r="G90" s="1" t="s">
        <v>250</v>
      </c>
      <c r="H90" s="1" t="s">
        <v>251</v>
      </c>
      <c r="I90" s="12">
        <f t="shared" si="5"/>
        <v>400</v>
      </c>
      <c r="J90">
        <f t="shared" si="6"/>
        <v>4</v>
      </c>
      <c r="K90">
        <f t="shared" si="7"/>
        <v>133.33333333333334</v>
      </c>
      <c r="L90">
        <f t="shared" si="8"/>
        <v>133.33000000000001</v>
      </c>
    </row>
    <row r="91" spans="1:12" ht="15" x14ac:dyDescent="0.3">
      <c r="A91" s="1">
        <v>104</v>
      </c>
      <c r="B91" s="2">
        <v>45572</v>
      </c>
      <c r="C91" s="1" t="s">
        <v>252</v>
      </c>
      <c r="D91" s="1" t="s">
        <v>246</v>
      </c>
      <c r="E91" s="4">
        <v>25</v>
      </c>
      <c r="F91" s="3">
        <v>15</v>
      </c>
      <c r="G91" s="1" t="s">
        <v>253</v>
      </c>
      <c r="H91" s="1" t="s">
        <v>254</v>
      </c>
      <c r="I91" s="12">
        <f t="shared" si="5"/>
        <v>375</v>
      </c>
      <c r="J91">
        <f t="shared" si="6"/>
        <v>3</v>
      </c>
      <c r="K91">
        <f t="shared" si="7"/>
        <v>125</v>
      </c>
      <c r="L91">
        <f t="shared" si="8"/>
        <v>125</v>
      </c>
    </row>
    <row r="92" spans="1:12" ht="15" x14ac:dyDescent="0.3">
      <c r="A92" s="1">
        <v>101</v>
      </c>
      <c r="B92" s="2">
        <v>45570</v>
      </c>
      <c r="C92" s="1" t="s">
        <v>255</v>
      </c>
      <c r="D92" s="1" t="s">
        <v>242</v>
      </c>
      <c r="E92" s="4">
        <v>20</v>
      </c>
      <c r="F92" s="3">
        <v>25</v>
      </c>
      <c r="G92" s="1" t="s">
        <v>247</v>
      </c>
      <c r="H92" s="1" t="s">
        <v>256</v>
      </c>
      <c r="I92" s="12">
        <f t="shared" si="5"/>
        <v>500</v>
      </c>
      <c r="J92">
        <f t="shared" si="6"/>
        <v>2</v>
      </c>
      <c r="K92">
        <f t="shared" si="7"/>
        <v>166.66666666666666</v>
      </c>
      <c r="L92">
        <f t="shared" si="8"/>
        <v>166.67</v>
      </c>
    </row>
    <row r="93" spans="1:12" x14ac:dyDescent="0.3">
      <c r="C93">
        <f>COUNTA(C88:C92)</f>
        <v>5</v>
      </c>
      <c r="F93" s="44">
        <f>AVERAGE(F88:F92)</f>
        <v>22</v>
      </c>
    </row>
    <row r="96" spans="1:12" s="13" customFormat="1" ht="21" x14ac:dyDescent="0.3">
      <c r="A96" s="39" t="s">
        <v>292</v>
      </c>
    </row>
    <row r="98" spans="1:13" ht="18" x14ac:dyDescent="0.3">
      <c r="A98" s="14" t="s">
        <v>263</v>
      </c>
    </row>
    <row r="99" spans="1:13" ht="15.6" x14ac:dyDescent="0.3">
      <c r="A99" s="16" t="s">
        <v>293</v>
      </c>
      <c r="C99" t="s">
        <v>294</v>
      </c>
    </row>
    <row r="100" spans="1:13" ht="15.6" x14ac:dyDescent="0.3">
      <c r="A100" s="16" t="s">
        <v>295</v>
      </c>
    </row>
    <row r="101" spans="1:13" ht="15.6" x14ac:dyDescent="0.3">
      <c r="A101" s="16" t="s">
        <v>296</v>
      </c>
    </row>
    <row r="103" spans="1:13" ht="18" thickBot="1" x14ac:dyDescent="0.35">
      <c r="A103" s="5" t="s">
        <v>232</v>
      </c>
      <c r="B103" s="6" t="s">
        <v>233</v>
      </c>
      <c r="C103" s="5" t="s">
        <v>234</v>
      </c>
      <c r="D103" s="5" t="s">
        <v>235</v>
      </c>
      <c r="E103" s="7" t="s">
        <v>236</v>
      </c>
      <c r="F103" s="8" t="s">
        <v>237</v>
      </c>
      <c r="G103" s="5" t="s">
        <v>238</v>
      </c>
      <c r="H103" s="5" t="s">
        <v>239</v>
      </c>
      <c r="I103" s="11" t="s">
        <v>240</v>
      </c>
      <c r="J103" t="s">
        <v>297</v>
      </c>
      <c r="K103" t="s">
        <v>298</v>
      </c>
      <c r="L103" t="s">
        <v>299</v>
      </c>
      <c r="M103" t="s">
        <v>300</v>
      </c>
    </row>
    <row r="104" spans="1:13" ht="15.6" thickTop="1" x14ac:dyDescent="0.3">
      <c r="A104" s="1">
        <v>102</v>
      </c>
      <c r="B104" s="2">
        <v>45571</v>
      </c>
      <c r="C104" s="1" t="s">
        <v>241</v>
      </c>
      <c r="D104" s="1" t="s">
        <v>242</v>
      </c>
      <c r="E104" s="4">
        <v>15</v>
      </c>
      <c r="F104" s="3">
        <v>20</v>
      </c>
      <c r="G104" s="1" t="s">
        <v>243</v>
      </c>
      <c r="H104" s="1" t="s">
        <v>244</v>
      </c>
      <c r="I104" s="12">
        <f>E104*F104</f>
        <v>300</v>
      </c>
      <c r="J104" t="str">
        <f>IF(I104&gt;=350,"HIGH SALES","LOW SALES")</f>
        <v>LOW SALES</v>
      </c>
      <c r="K104" t="str" cm="1">
        <f t="array" ref="K104">_xlfn.IFS(G104="WEST","TOP",G104="NORTH","MID", OR(G104="SOUTH",G104="EAST"),"LOW")</f>
        <v>MID</v>
      </c>
      <c r="L104" t="str">
        <f>IF(AND(D104="FOOD",I104&gt;400),"5% DISCOUNT","NO DISCOUNT")</f>
        <v>NO DISCOUNT</v>
      </c>
      <c r="M104" t="b">
        <f>NOT(E104)</f>
        <v>0</v>
      </c>
    </row>
    <row r="105" spans="1:13" ht="15" x14ac:dyDescent="0.3">
      <c r="A105" s="1">
        <v>105</v>
      </c>
      <c r="B105" s="2">
        <v>45572</v>
      </c>
      <c r="C105" s="1" t="s">
        <v>245</v>
      </c>
      <c r="D105" s="1" t="s">
        <v>246</v>
      </c>
      <c r="E105" s="4">
        <v>30</v>
      </c>
      <c r="F105" s="3">
        <v>10</v>
      </c>
      <c r="G105" s="1" t="s">
        <v>247</v>
      </c>
      <c r="H105" s="1" t="s">
        <v>248</v>
      </c>
      <c r="I105" s="12">
        <f t="shared" ref="I105:I108" si="9">E105*F105</f>
        <v>300</v>
      </c>
      <c r="J105" t="str">
        <f t="shared" ref="J105:J108" si="10">IF(I105&gt;=350,"HIGH SALES","LOW SALES")</f>
        <v>LOW SALES</v>
      </c>
      <c r="K105" t="str" cm="1">
        <f t="array" ref="K105">_xlfn.IFS(G105="WEST","TOP",G105="NORTH","MID", OR(G105="SOUTH",G105="EAST"),"LOW")</f>
        <v>TOP</v>
      </c>
      <c r="L105" t="str">
        <f t="shared" ref="L105:L108" si="11">IF(AND(D105="FOOD",I105&gt;400),"5% DISCOUNT","NO DISCOUNT")</f>
        <v>NO DISCOUNT</v>
      </c>
      <c r="M105" t="b">
        <f t="shared" ref="M105:M108" si="12">NOT(E105)</f>
        <v>0</v>
      </c>
    </row>
    <row r="106" spans="1:13" ht="15" x14ac:dyDescent="0.3">
      <c r="A106" s="1">
        <v>103</v>
      </c>
      <c r="B106" s="2">
        <v>45571</v>
      </c>
      <c r="C106" s="1" t="s">
        <v>249</v>
      </c>
      <c r="D106" s="1" t="s">
        <v>242</v>
      </c>
      <c r="E106" s="4">
        <v>10</v>
      </c>
      <c r="F106" s="3">
        <v>40</v>
      </c>
      <c r="G106" s="1" t="s">
        <v>250</v>
      </c>
      <c r="H106" s="1" t="s">
        <v>251</v>
      </c>
      <c r="I106" s="12">
        <f t="shared" si="9"/>
        <v>400</v>
      </c>
      <c r="J106" t="str">
        <f t="shared" si="10"/>
        <v>HIGH SALES</v>
      </c>
      <c r="K106" t="str" cm="1">
        <f t="array" ref="K106">_xlfn.IFS(G106="WEST","TOP",G106="NORTH","MID", OR(G106="SOUTH",G106="EAST"),"LOW")</f>
        <v>LOW</v>
      </c>
      <c r="L106" t="str">
        <f t="shared" si="11"/>
        <v>NO DISCOUNT</v>
      </c>
      <c r="M106" t="b">
        <f t="shared" si="12"/>
        <v>0</v>
      </c>
    </row>
    <row r="107" spans="1:13" ht="15" x14ac:dyDescent="0.3">
      <c r="A107" s="1">
        <v>104</v>
      </c>
      <c r="B107" s="2">
        <v>45572</v>
      </c>
      <c r="C107" s="1" t="s">
        <v>252</v>
      </c>
      <c r="D107" s="1" t="s">
        <v>246</v>
      </c>
      <c r="E107" s="4">
        <v>25</v>
      </c>
      <c r="F107" s="3">
        <v>15</v>
      </c>
      <c r="G107" s="1" t="s">
        <v>253</v>
      </c>
      <c r="H107" s="1" t="s">
        <v>254</v>
      </c>
      <c r="I107" s="12">
        <f t="shared" si="9"/>
        <v>375</v>
      </c>
      <c r="J107" t="str">
        <f t="shared" si="10"/>
        <v>HIGH SALES</v>
      </c>
      <c r="K107" t="str" cm="1">
        <f t="array" ref="K107">_xlfn.IFS(G107="WEST","TOP",G107="NORTH","MID", OR(G107="SOUTH",G107="EAST"),"LOW")</f>
        <v>LOW</v>
      </c>
      <c r="L107" t="str">
        <f t="shared" si="11"/>
        <v>NO DISCOUNT</v>
      </c>
      <c r="M107" t="b">
        <f t="shared" si="12"/>
        <v>0</v>
      </c>
    </row>
    <row r="108" spans="1:13" ht="15" x14ac:dyDescent="0.3">
      <c r="A108" s="1">
        <v>101</v>
      </c>
      <c r="B108" s="2">
        <v>45570</v>
      </c>
      <c r="C108" s="1" t="s">
        <v>255</v>
      </c>
      <c r="D108" s="1" t="s">
        <v>242</v>
      </c>
      <c r="E108" s="4">
        <v>20</v>
      </c>
      <c r="F108" s="3">
        <v>25</v>
      </c>
      <c r="G108" s="1" t="s">
        <v>247</v>
      </c>
      <c r="H108" s="1" t="s">
        <v>256</v>
      </c>
      <c r="I108" s="12">
        <f t="shared" si="9"/>
        <v>500</v>
      </c>
      <c r="J108" t="str">
        <f t="shared" si="10"/>
        <v>HIGH SALES</v>
      </c>
      <c r="K108" t="str" cm="1">
        <f t="array" ref="K108">_xlfn.IFS(G108="WEST","TOP",G108="NORTH","MID", OR(G108="SOUTH",G108="EAST"),"LOW")</f>
        <v>TOP</v>
      </c>
      <c r="L108" t="str">
        <f t="shared" si="11"/>
        <v>5% DISCOUNT</v>
      </c>
      <c r="M108" t="b">
        <f t="shared" si="12"/>
        <v>0</v>
      </c>
    </row>
    <row r="111" spans="1:13" s="13" customFormat="1" ht="21" x14ac:dyDescent="0.3">
      <c r="A111" s="39" t="s">
        <v>301</v>
      </c>
    </row>
    <row r="112" spans="1:13" ht="18" x14ac:dyDescent="0.3">
      <c r="A112" s="14" t="s">
        <v>263</v>
      </c>
    </row>
    <row r="113" spans="1:7" ht="15.6" x14ac:dyDescent="0.3">
      <c r="A113" s="16" t="s">
        <v>302</v>
      </c>
    </row>
    <row r="114" spans="1:7" ht="15.6" x14ac:dyDescent="0.3">
      <c r="A114" s="16" t="s">
        <v>303</v>
      </c>
    </row>
    <row r="115" spans="1:7" ht="15.6" x14ac:dyDescent="0.3">
      <c r="A115" s="59" t="s">
        <v>304</v>
      </c>
      <c r="B115" s="60"/>
      <c r="C115" s="60"/>
    </row>
    <row r="116" spans="1:7" ht="15.6" x14ac:dyDescent="0.3">
      <c r="A116" s="16" t="s">
        <v>305</v>
      </c>
    </row>
    <row r="117" spans="1:7" ht="15.6" x14ac:dyDescent="0.3">
      <c r="A117" s="16" t="s">
        <v>306</v>
      </c>
    </row>
    <row r="120" spans="1:7" ht="31.8" thickBot="1" x14ac:dyDescent="0.35">
      <c r="A120" s="45" t="s">
        <v>307</v>
      </c>
      <c r="B120" s="45" t="s">
        <v>308</v>
      </c>
      <c r="C120" t="s">
        <v>309</v>
      </c>
      <c r="D120" t="s">
        <v>310</v>
      </c>
      <c r="E120" t="s">
        <v>311</v>
      </c>
      <c r="F120" t="s">
        <v>312</v>
      </c>
      <c r="G120" t="s">
        <v>313</v>
      </c>
    </row>
    <row r="121" spans="1:7" ht="15.6" x14ac:dyDescent="0.3">
      <c r="A121" s="46" t="s">
        <v>256</v>
      </c>
      <c r="B121" s="46" t="s">
        <v>314</v>
      </c>
      <c r="C121" t="str">
        <f>TRIM(B121)</f>
        <v>riya@ gmail.com</v>
      </c>
      <c r="D121" t="str">
        <f>LOWER(C121)</f>
        <v>riya@ gmail.com</v>
      </c>
      <c r="E121" t="str">
        <f>_xlfn.CONCAT(D121,"-",A121)</f>
        <v>riya@ gmail.com-Riya</v>
      </c>
      <c r="F121" t="str">
        <f>_xlfn.TEXTJOIN("-",TRUE,A121:A123)</f>
        <v>Riya-Amit-Neha</v>
      </c>
      <c r="G121">
        <f>LEN(C121)</f>
        <v>15</v>
      </c>
    </row>
    <row r="122" spans="1:7" ht="31.2" x14ac:dyDescent="0.3">
      <c r="A122" s="46" t="s">
        <v>244</v>
      </c>
      <c r="B122" s="46" t="s">
        <v>315</v>
      </c>
      <c r="C122" t="str">
        <f t="shared" ref="C122:C123" si="13">TRIM(B122)</f>
        <v>AMIT@YAHOO.COM</v>
      </c>
      <c r="D122" t="str">
        <f t="shared" ref="D122:D123" si="14">LOWER(C122)</f>
        <v>amit@yahoo.com</v>
      </c>
      <c r="E122" t="str">
        <f t="shared" ref="E122:E123" si="15">_xlfn.CONCAT(D122,"-",A122)</f>
        <v>amit@yahoo.com-Amit</v>
      </c>
      <c r="G122">
        <f t="shared" ref="G122:G123" si="16">LEN(C122)</f>
        <v>14</v>
      </c>
    </row>
    <row r="123" spans="1:7" ht="31.2" x14ac:dyDescent="0.3">
      <c r="A123" s="46" t="s">
        <v>251</v>
      </c>
      <c r="B123" s="46" t="s">
        <v>316</v>
      </c>
      <c r="C123" t="str">
        <f t="shared" si="13"/>
        <v>neha123 @hotmail.com</v>
      </c>
      <c r="D123" t="str">
        <f t="shared" si="14"/>
        <v>neha123 @hotmail.com</v>
      </c>
      <c r="E123" t="str">
        <f t="shared" si="15"/>
        <v>neha123 @hotmail.com-Neha</v>
      </c>
      <c r="G123">
        <f t="shared" si="16"/>
        <v>20</v>
      </c>
    </row>
    <row r="126" spans="1:7" s="13" customFormat="1" ht="21" x14ac:dyDescent="0.3">
      <c r="A126" s="39" t="s">
        <v>317</v>
      </c>
    </row>
    <row r="127" spans="1:7" ht="18" x14ac:dyDescent="0.3">
      <c r="A127" s="14" t="s">
        <v>263</v>
      </c>
    </row>
    <row r="128" spans="1:7" ht="15.6" x14ac:dyDescent="0.3">
      <c r="A128" s="16" t="s">
        <v>318</v>
      </c>
    </row>
    <row r="129" spans="1:8" ht="15.6" x14ac:dyDescent="0.3">
      <c r="A129" s="16" t="s">
        <v>319</v>
      </c>
    </row>
    <row r="130" spans="1:8" ht="15.6" x14ac:dyDescent="0.3">
      <c r="A130" s="16" t="s">
        <v>320</v>
      </c>
    </row>
    <row r="131" spans="1:8" ht="15.6" x14ac:dyDescent="0.3">
      <c r="A131" s="16" t="s">
        <v>321</v>
      </c>
    </row>
    <row r="132" spans="1:8" ht="15.6" x14ac:dyDescent="0.3">
      <c r="A132" s="16" t="s">
        <v>322</v>
      </c>
    </row>
    <row r="135" spans="1:8" ht="31.8" thickBot="1" x14ac:dyDescent="0.35">
      <c r="A135" s="45" t="s">
        <v>323</v>
      </c>
      <c r="B135" s="45" t="s">
        <v>324</v>
      </c>
      <c r="C135" s="45" t="s">
        <v>325</v>
      </c>
      <c r="D135" s="46" t="s">
        <v>326</v>
      </c>
      <c r="E135" s="46" t="s">
        <v>327</v>
      </c>
      <c r="F135" s="46" t="s">
        <v>328</v>
      </c>
      <c r="G135" s="46" t="s">
        <v>329</v>
      </c>
      <c r="H135" s="46" t="s">
        <v>330</v>
      </c>
    </row>
    <row r="136" spans="1:8" ht="15.6" x14ac:dyDescent="0.3">
      <c r="A136" s="46" t="s">
        <v>256</v>
      </c>
      <c r="B136" s="62">
        <v>44562</v>
      </c>
      <c r="C136" s="62">
        <v>45570</v>
      </c>
      <c r="D136" s="61">
        <f ca="1">TODAY()</f>
        <v>46059</v>
      </c>
      <c r="E136" s="63">
        <f ca="1">NOW()</f>
        <v>46059.872145486108</v>
      </c>
      <c r="F136">
        <f>DATEDIF(B136,C136,"M")</f>
        <v>33</v>
      </c>
      <c r="G136" s="61">
        <f>EDATE(B136,6)</f>
        <v>44743</v>
      </c>
      <c r="H136">
        <f>NETWORKDAYS(B136,C136)</f>
        <v>720</v>
      </c>
    </row>
    <row r="137" spans="1:8" ht="15.6" x14ac:dyDescent="0.3">
      <c r="A137" s="46" t="s">
        <v>244</v>
      </c>
      <c r="B137" s="62">
        <v>45092</v>
      </c>
      <c r="C137" s="62">
        <v>45570</v>
      </c>
      <c r="D137" s="61">
        <f t="shared" ref="D137:D138" ca="1" si="17">TODAY()</f>
        <v>46059</v>
      </c>
      <c r="E137" s="63">
        <f t="shared" ref="E137:E138" ca="1" si="18">NOW()</f>
        <v>46059.872145486108</v>
      </c>
      <c r="F137">
        <f t="shared" ref="F137:F138" si="19">DATEDIF(B137,C137,"M")</f>
        <v>15</v>
      </c>
      <c r="G137" s="61">
        <f>EDATE(B137,6)</f>
        <v>45275</v>
      </c>
      <c r="H137">
        <f t="shared" ref="H137:H138" si="20">NETWORKDAYS(B137,C137)</f>
        <v>342</v>
      </c>
    </row>
    <row r="138" spans="1:8" ht="15.6" x14ac:dyDescent="0.3">
      <c r="A138" s="46" t="s">
        <v>251</v>
      </c>
      <c r="B138" s="62">
        <v>45545</v>
      </c>
      <c r="C138" s="62">
        <v>45570</v>
      </c>
      <c r="D138" s="61">
        <f t="shared" ca="1" si="17"/>
        <v>46059</v>
      </c>
      <c r="E138" s="63">
        <f t="shared" ca="1" si="18"/>
        <v>46059.872145486108</v>
      </c>
      <c r="F138">
        <f t="shared" si="19"/>
        <v>0</v>
      </c>
      <c r="G138" s="61">
        <f>EDATE(B138,6)</f>
        <v>45726</v>
      </c>
      <c r="H138">
        <f t="shared" si="20"/>
        <v>19</v>
      </c>
    </row>
    <row r="141" spans="1:8" s="13" customFormat="1" ht="21" x14ac:dyDescent="0.3">
      <c r="A141" s="39" t="s">
        <v>331</v>
      </c>
    </row>
    <row r="143" spans="1:8" ht="18" x14ac:dyDescent="0.3">
      <c r="A143" s="14" t="s">
        <v>263</v>
      </c>
    </row>
    <row r="144" spans="1:8" ht="15.6" x14ac:dyDescent="0.3">
      <c r="A144" s="16" t="s">
        <v>332</v>
      </c>
    </row>
    <row r="145" spans="1:4" ht="15.6" x14ac:dyDescent="0.3">
      <c r="A145" s="16" t="s">
        <v>333</v>
      </c>
    </row>
    <row r="146" spans="1:4" ht="15.6" x14ac:dyDescent="0.3">
      <c r="A146" s="16" t="s">
        <v>334</v>
      </c>
    </row>
    <row r="148" spans="1:4" ht="16.2" thickBot="1" x14ac:dyDescent="0.35">
      <c r="A148" s="45" t="s">
        <v>234</v>
      </c>
      <c r="B148" s="45" t="s">
        <v>335</v>
      </c>
      <c r="C148" s="45" t="s">
        <v>235</v>
      </c>
      <c r="D148" s="46"/>
    </row>
    <row r="149" spans="1:4" ht="15.6" x14ac:dyDescent="0.3">
      <c r="A149" s="46" t="s">
        <v>255</v>
      </c>
      <c r="B149" s="46">
        <v>25</v>
      </c>
      <c r="C149" s="46" t="s">
        <v>242</v>
      </c>
    </row>
    <row r="150" spans="1:4" ht="15.6" x14ac:dyDescent="0.3">
      <c r="A150" s="46" t="s">
        <v>241</v>
      </c>
      <c r="B150" s="46">
        <v>20</v>
      </c>
      <c r="C150" s="46" t="s">
        <v>242</v>
      </c>
    </row>
    <row r="151" spans="1:4" ht="15.6" x14ac:dyDescent="0.3">
      <c r="A151" s="46" t="s">
        <v>252</v>
      </c>
      <c r="B151" s="46">
        <v>15</v>
      </c>
      <c r="C151" s="46" t="s">
        <v>246</v>
      </c>
    </row>
    <row r="152" spans="1:4" ht="15.6" x14ac:dyDescent="0.3">
      <c r="A152" s="46" t="s">
        <v>245</v>
      </c>
      <c r="B152" s="46">
        <v>10</v>
      </c>
      <c r="C152" s="46" t="s">
        <v>246</v>
      </c>
    </row>
    <row r="153" spans="1:4" ht="15.6" x14ac:dyDescent="0.3">
      <c r="A153" s="46"/>
      <c r="B153" s="46"/>
      <c r="C153" s="46"/>
    </row>
    <row r="154" spans="1:4" ht="18" x14ac:dyDescent="0.3">
      <c r="A154" s="14" t="s">
        <v>336</v>
      </c>
    </row>
    <row r="155" spans="1:4" ht="16.2" thickBot="1" x14ac:dyDescent="0.35">
      <c r="A155" s="45" t="s">
        <v>337</v>
      </c>
      <c r="B155" s="45" t="s">
        <v>234</v>
      </c>
      <c r="C155" s="45" t="s">
        <v>236</v>
      </c>
      <c r="D155" s="46" t="s">
        <v>338</v>
      </c>
    </row>
    <row r="156" spans="1:4" ht="15.6" x14ac:dyDescent="0.3">
      <c r="A156" s="46">
        <v>201</v>
      </c>
      <c r="B156" s="46" t="s">
        <v>255</v>
      </c>
      <c r="C156" s="46">
        <v>5</v>
      </c>
    </row>
    <row r="157" spans="1:4" ht="15.6" x14ac:dyDescent="0.3">
      <c r="A157" s="46">
        <v>202</v>
      </c>
      <c r="B157" s="46" t="s">
        <v>245</v>
      </c>
      <c r="C157" s="46">
        <v>10</v>
      </c>
    </row>
    <row r="158" spans="1:4" ht="15.6" x14ac:dyDescent="0.3">
      <c r="A158" s="46">
        <v>203</v>
      </c>
      <c r="B158" s="46" t="s">
        <v>252</v>
      </c>
      <c r="C158" s="46">
        <v>3</v>
      </c>
    </row>
    <row r="162" spans="1:9" s="13" customFormat="1" ht="21" x14ac:dyDescent="0.3">
      <c r="A162" s="39" t="s">
        <v>339</v>
      </c>
    </row>
    <row r="164" spans="1:9" ht="18" x14ac:dyDescent="0.3">
      <c r="A164" s="14" t="s">
        <v>263</v>
      </c>
    </row>
    <row r="165" spans="1:9" ht="15.6" x14ac:dyDescent="0.3">
      <c r="A165" s="16" t="s">
        <v>340</v>
      </c>
    </row>
    <row r="166" spans="1:9" ht="15.6" x14ac:dyDescent="0.3">
      <c r="A166" s="16" t="s">
        <v>341</v>
      </c>
    </row>
    <row r="167" spans="1:9" ht="15.6" x14ac:dyDescent="0.3">
      <c r="A167" s="16" t="s">
        <v>342</v>
      </c>
    </row>
    <row r="168" spans="1:9" ht="15.6" x14ac:dyDescent="0.3">
      <c r="A168" s="59" t="s">
        <v>343</v>
      </c>
      <c r="B168" s="60"/>
      <c r="C168" s="60"/>
      <c r="D168" s="60"/>
    </row>
    <row r="169" spans="1:9" ht="15.6" x14ac:dyDescent="0.3">
      <c r="A169" s="59" t="s">
        <v>344</v>
      </c>
      <c r="B169" s="60"/>
      <c r="C169" s="60"/>
      <c r="D169" s="60"/>
    </row>
    <row r="170" spans="1:9" ht="15.6" x14ac:dyDescent="0.3">
      <c r="A170" s="59" t="s">
        <v>345</v>
      </c>
      <c r="B170" s="60"/>
      <c r="C170" s="60"/>
      <c r="D170" s="60"/>
    </row>
    <row r="172" spans="1:9" ht="18" thickBot="1" x14ac:dyDescent="0.35">
      <c r="A172" s="5" t="s">
        <v>232</v>
      </c>
      <c r="B172" s="6" t="s">
        <v>233</v>
      </c>
      <c r="C172" s="5" t="s">
        <v>234</v>
      </c>
      <c r="D172" s="5" t="s">
        <v>235</v>
      </c>
      <c r="E172" s="7" t="s">
        <v>236</v>
      </c>
      <c r="F172" s="8" t="s">
        <v>237</v>
      </c>
      <c r="G172" s="5" t="s">
        <v>238</v>
      </c>
      <c r="H172" s="5" t="s">
        <v>239</v>
      </c>
      <c r="I172" s="11" t="s">
        <v>240</v>
      </c>
    </row>
    <row r="173" spans="1:9" ht="15.6" thickTop="1" x14ac:dyDescent="0.3">
      <c r="A173" s="1">
        <v>102</v>
      </c>
      <c r="B173" s="2">
        <v>45571</v>
      </c>
      <c r="C173" s="1" t="s">
        <v>241</v>
      </c>
      <c r="D173" s="1" t="s">
        <v>242</v>
      </c>
      <c r="E173" s="4">
        <v>15</v>
      </c>
      <c r="F173" s="3">
        <v>20</v>
      </c>
      <c r="G173" s="1" t="s">
        <v>243</v>
      </c>
      <c r="H173" s="1" t="s">
        <v>244</v>
      </c>
      <c r="I173" s="12">
        <f>E173*F173</f>
        <v>300</v>
      </c>
    </row>
    <row r="174" spans="1:9" ht="15" x14ac:dyDescent="0.3">
      <c r="A174" s="1">
        <v>105</v>
      </c>
      <c r="B174" s="2">
        <v>45572</v>
      </c>
      <c r="C174" s="1" t="s">
        <v>245</v>
      </c>
      <c r="D174" s="1" t="s">
        <v>246</v>
      </c>
      <c r="E174" s="4">
        <v>30</v>
      </c>
      <c r="F174" s="3">
        <v>10</v>
      </c>
      <c r="G174" s="1" t="s">
        <v>247</v>
      </c>
      <c r="H174" s="1" t="s">
        <v>248</v>
      </c>
      <c r="I174" s="12">
        <f t="shared" ref="I174:I177" si="21">E174*F174</f>
        <v>300</v>
      </c>
    </row>
    <row r="175" spans="1:9" ht="15" x14ac:dyDescent="0.3">
      <c r="A175" s="1">
        <v>103</v>
      </c>
      <c r="B175" s="2">
        <v>45571</v>
      </c>
      <c r="C175" s="1" t="s">
        <v>249</v>
      </c>
      <c r="D175" s="1" t="s">
        <v>242</v>
      </c>
      <c r="E175" s="4">
        <v>10</v>
      </c>
      <c r="F175" s="3">
        <v>40</v>
      </c>
      <c r="G175" s="1" t="s">
        <v>250</v>
      </c>
      <c r="H175" s="1" t="s">
        <v>251</v>
      </c>
      <c r="I175" s="12">
        <f t="shared" si="21"/>
        <v>400</v>
      </c>
    </row>
    <row r="176" spans="1:9" ht="15" x14ac:dyDescent="0.3">
      <c r="A176" s="1">
        <v>104</v>
      </c>
      <c r="B176" s="2">
        <v>45572</v>
      </c>
      <c r="C176" s="1" t="s">
        <v>252</v>
      </c>
      <c r="D176" s="1" t="s">
        <v>246</v>
      </c>
      <c r="E176" s="4">
        <v>25</v>
      </c>
      <c r="F176" s="3">
        <v>15</v>
      </c>
      <c r="G176" s="1" t="s">
        <v>253</v>
      </c>
      <c r="H176" s="1" t="s">
        <v>254</v>
      </c>
      <c r="I176" s="12">
        <f t="shared" si="21"/>
        <v>375</v>
      </c>
    </row>
    <row r="177" spans="1:9" ht="15" x14ac:dyDescent="0.3">
      <c r="A177" s="1">
        <v>101</v>
      </c>
      <c r="B177" s="2">
        <v>45570</v>
      </c>
      <c r="C177" s="1" t="s">
        <v>255</v>
      </c>
      <c r="D177" s="1" t="s">
        <v>242</v>
      </c>
      <c r="E177" s="4">
        <v>20</v>
      </c>
      <c r="F177" s="3">
        <v>25</v>
      </c>
      <c r="G177" s="1" t="s">
        <v>247</v>
      </c>
      <c r="H177" s="1" t="s">
        <v>256</v>
      </c>
      <c r="I177" s="12">
        <f t="shared" si="21"/>
        <v>500</v>
      </c>
    </row>
    <row r="182" spans="1:9" s="13" customFormat="1" ht="36.6" customHeight="1" x14ac:dyDescent="0.5">
      <c r="A182" s="64" t="s">
        <v>346</v>
      </c>
    </row>
    <row r="183" spans="1:9" ht="18" x14ac:dyDescent="0.3">
      <c r="A183" s="14" t="s">
        <v>263</v>
      </c>
    </row>
    <row r="184" spans="1:9" ht="15.6" x14ac:dyDescent="0.3">
      <c r="A184" s="16" t="s">
        <v>347</v>
      </c>
    </row>
    <row r="185" spans="1:9" ht="15.6" x14ac:dyDescent="0.3">
      <c r="A185" s="16" t="s">
        <v>348</v>
      </c>
    </row>
    <row r="186" spans="1:9" ht="15.6" x14ac:dyDescent="0.3">
      <c r="A186" s="16" t="s">
        <v>349</v>
      </c>
    </row>
    <row r="187" spans="1:9" ht="15.6" x14ac:dyDescent="0.3">
      <c r="A187" s="16" t="s">
        <v>350</v>
      </c>
    </row>
    <row r="188" spans="1:9" ht="15.6" x14ac:dyDescent="0.3">
      <c r="A188" s="16" t="s">
        <v>351</v>
      </c>
    </row>
    <row r="196" spans="1:4" ht="21" x14ac:dyDescent="0.3">
      <c r="A196" s="38" t="s">
        <v>352</v>
      </c>
    </row>
    <row r="197" spans="1:4" ht="18" x14ac:dyDescent="0.3">
      <c r="A197" s="14" t="s">
        <v>353</v>
      </c>
    </row>
    <row r="198" spans="1:4" ht="16.2" thickBot="1" x14ac:dyDescent="0.35">
      <c r="A198" s="45" t="s">
        <v>354</v>
      </c>
      <c r="B198" s="45" t="s">
        <v>355</v>
      </c>
      <c r="C198" s="45" t="s">
        <v>356</v>
      </c>
      <c r="D198" s="45" t="s">
        <v>357</v>
      </c>
    </row>
    <row r="199" spans="1:4" ht="15.6" x14ac:dyDescent="0.3">
      <c r="A199" s="46" t="s">
        <v>14</v>
      </c>
      <c r="B199" s="46">
        <v>120</v>
      </c>
      <c r="C199" s="46">
        <v>48000</v>
      </c>
      <c r="D199" s="46">
        <v>50000</v>
      </c>
    </row>
    <row r="200" spans="1:4" ht="15.6" x14ac:dyDescent="0.3">
      <c r="A200" s="46" t="s">
        <v>15</v>
      </c>
      <c r="B200" s="46">
        <v>140</v>
      </c>
      <c r="C200" s="46">
        <v>52000</v>
      </c>
      <c r="D200" s="46">
        <v>50000</v>
      </c>
    </row>
    <row r="201" spans="1:4" ht="15.6" x14ac:dyDescent="0.3">
      <c r="A201" s="46" t="s">
        <v>16</v>
      </c>
      <c r="B201" s="46">
        <v>110</v>
      </c>
      <c r="C201" s="46">
        <v>46000</v>
      </c>
      <c r="D201" s="46">
        <v>48000</v>
      </c>
    </row>
    <row r="202" spans="1:4" ht="18" x14ac:dyDescent="0.3">
      <c r="A202" s="14" t="s">
        <v>263</v>
      </c>
    </row>
    <row r="203" spans="1:4" ht="15.6" x14ac:dyDescent="0.3">
      <c r="A203" s="16" t="s">
        <v>358</v>
      </c>
    </row>
    <row r="204" spans="1:4" ht="15.6" x14ac:dyDescent="0.3">
      <c r="A204" s="16" t="s">
        <v>359</v>
      </c>
    </row>
    <row r="205" spans="1:4" ht="15.6" x14ac:dyDescent="0.3">
      <c r="A205" s="16" t="s">
        <v>360</v>
      </c>
    </row>
    <row r="206" spans="1:4" ht="15.6" x14ac:dyDescent="0.3">
      <c r="A206" s="16" t="s">
        <v>361</v>
      </c>
    </row>
    <row r="209" spans="1:1" ht="15.6" x14ac:dyDescent="0.3">
      <c r="A209" s="65"/>
    </row>
  </sheetData>
  <autoFilter ref="A70:I75" xr:uid="{8B4C4333-8295-44F6-9EE8-51F4A2C13775}"/>
  <sortState xmlns:xlrd2="http://schemas.microsoft.com/office/spreadsheetml/2017/richdata2" ref="A23:I28">
    <sortCondition sortBy="icon" ref="B23:B28"/>
    <sortCondition ref="A23:A28"/>
  </sortState>
  <mergeCells count="1">
    <mergeCell ref="A15:Q15"/>
  </mergeCells>
  <conditionalFormatting sqref="D23:D27">
    <cfRule type="timePeriod" dxfId="5" priority="2" timePeriod="yesterday">
      <formula>FLOOR(D23,1)=TODAY()-1</formula>
    </cfRule>
  </conditionalFormatting>
  <conditionalFormatting sqref="E23:E27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{8B817CEA-D4CD-4B25-AC63-0061BE559A24}</x14:id>
        </ext>
      </extLst>
    </cfRule>
    <cfRule type="timePeriod" dxfId="4" priority="4" timePeriod="last7Days">
      <formula>AND(TODAY()-FLOOR(E23,1)&lt;=6,FLOOR(E23,1)&lt;=TODAY())</formula>
    </cfRule>
    <cfRule type="timePeriod" dxfId="3" priority="5" timePeriod="today">
      <formula>FLOOR(E23,1)=TODAY()</formula>
    </cfRule>
    <cfRule type="timePeriod" dxfId="2" priority="6" timePeriod="yesterday">
      <formula>FLOOR(E23,1)=TODAY()-1</formula>
    </cfRule>
    <cfRule type="duplicateValues" dxfId="1" priority="7"/>
  </conditionalFormatting>
  <conditionalFormatting sqref="I56:I60">
    <cfRule type="cellIs" dxfId="0" priority="1" operator="greaterThan">
      <formula>300000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817CEA-D4CD-4B25-AC63-0061BE559A2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E23:E27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COLUMN CHART</vt:lpstr>
      <vt:lpstr>LINE CHART</vt:lpstr>
      <vt:lpstr>PIE CHART</vt:lpstr>
      <vt:lpstr>COMBO CHART</vt:lpstr>
      <vt:lpstr>WORK2</vt:lpstr>
      <vt:lpstr>HLOOKUP ND DATA VALIDATION</vt:lpstr>
      <vt:lpstr>WORK1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Annu Kumari</dc:creator>
  <cp:keywords/>
  <dc:description/>
  <cp:lastModifiedBy>Annu Kumari</cp:lastModifiedBy>
  <cp:revision/>
  <dcterms:created xsi:type="dcterms:W3CDTF">2025-10-08T09:17:08Z</dcterms:created>
  <dcterms:modified xsi:type="dcterms:W3CDTF">2026-02-06T15:25:53Z</dcterms:modified>
  <cp:category/>
  <cp:contentStatus/>
</cp:coreProperties>
</file>